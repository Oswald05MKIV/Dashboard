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  <sheet state="visible" name="AGOSTO 2026" sheetId="8" r:id="rId12"/>
    <sheet state="visible" name="SEPTIEMBRE 2026" sheetId="9" r:id="rId13"/>
    <sheet state="visible" name="OCTUBRE 2026" sheetId="10" r:id="rId14"/>
  </sheets>
  <definedNames/>
  <calcPr/>
</workbook>
</file>

<file path=xl/sharedStrings.xml><?xml version="1.0" encoding="utf-8"?>
<sst xmlns="http://schemas.openxmlformats.org/spreadsheetml/2006/main" count="475" uniqueCount="70">
  <si>
    <t>Totales</t>
  </si>
  <si>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</si>
  <si>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</si>
  <si>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</si>
  <si>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</si>
  <si>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</si>
  <si>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</si>
  <si>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</si>
  <si>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</si>
  <si>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</si>
  <si>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</si>
  <si>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</si>
  <si>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</si>
  <si>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</si>
  <si>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</si>
  <si>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</si>
  <si>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</si>
  <si>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</si>
  <si>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</si>
  <si>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</si>
  <si>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</si>
  <si>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</si>
  <si>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</si>
  <si>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</si>
  <si>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Consuelo Becerril</t>
  </si>
  <si>
    <t>Adriana Calva</t>
  </si>
  <si>
    <t>Erik Trotter Bustamante</t>
  </si>
  <si>
    <t>Adriana Regalado</t>
  </si>
  <si>
    <t>María Elena Romano Pelayo</t>
  </si>
  <si>
    <t>Pilar González Ávila</t>
  </si>
  <si>
    <t>Alberto Flores Gómez</t>
  </si>
  <si>
    <t>Christian Alvarado Martínez</t>
  </si>
  <si>
    <t>Alma Veronica Flores Guzman</t>
  </si>
  <si>
    <t>Luis Fernando Alcántar</t>
  </si>
  <si>
    <t>Nidia Gisela García Trujillo</t>
  </si>
  <si>
    <t>Ana Escamilla</t>
  </si>
  <si>
    <t>Christian Díaz Padilla</t>
  </si>
  <si>
    <t>Lorena Ramos Quevedo</t>
  </si>
  <si>
    <t>Marisol Huerta Ruiz</t>
  </si>
  <si>
    <t>Lorena Payan</t>
  </si>
  <si>
    <t>Judith Diosdado Torres</t>
  </si>
  <si>
    <t>Maria de los Angeles Bostal</t>
  </si>
  <si>
    <t>Héctor de la Peña</t>
  </si>
  <si>
    <t>Ivette Camacho</t>
  </si>
  <si>
    <t>Norma Janet Canaan Enciso</t>
  </si>
  <si>
    <t>Joel Martínez Rodeíguez</t>
  </si>
  <si>
    <t>Susana Ávila Basalrua</t>
  </si>
  <si>
    <t>Marilú Jasso Reinoso</t>
  </si>
  <si>
    <t>Luis Eduardo Duval de las Casas</t>
  </si>
  <si>
    <t>Mariana Vega</t>
  </si>
  <si>
    <t>Lourdes Rodríguez Bautista</t>
  </si>
  <si>
    <t>Adriana Cedillo</t>
  </si>
  <si>
    <t>Eduardo Franco Navarro</t>
  </si>
  <si>
    <t>Lucía Calderón</t>
  </si>
  <si>
    <t xml:space="preserve">     </t>
  </si>
  <si>
    <t>Martha Ochoa</t>
  </si>
  <si>
    <t>Susana Cruz</t>
  </si>
  <si>
    <t>Lizbeth Pérez</t>
  </si>
  <si>
    <t>Oswaldo Sánchez</t>
  </si>
  <si>
    <t>Angel Gabriel Martinez</t>
  </si>
  <si>
    <t>DESARROLLOS</t>
  </si>
  <si>
    <t>Daniela Morales</t>
  </si>
  <si>
    <t>Erick Rosales Pallares</t>
  </si>
  <si>
    <t>Julieta Mar Rodríguez</t>
  </si>
  <si>
    <t>Lesley García</t>
  </si>
  <si>
    <t>Noel Castro</t>
  </si>
  <si>
    <t>Rocío Ávalos Alegría</t>
  </si>
  <si>
    <t>Sophie de la Torre</t>
  </si>
  <si>
    <t>Olivia Flores</t>
  </si>
  <si>
    <t>Nota, una de las de trotter estba en venta y se puso en renta, esta contada como opcion pero tu sabrás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</si>
</sst>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color rgb="FFFFFFFF"/>
      <name val="Crimson Text"/>
    </font>
    <font>
      <b/>
      <color theme="1"/>
      <name val="Crimson Text"/>
    </font>
    <font>
      <b/>
      <sz val="10.0"/>
      <color rgb="FFFFFFFF"/>
      <name val="Crimson Text"/>
    </font>
    <font>
      <color rgb="FFFFFFFF"/>
      <name val="Crimson Text"/>
    </font>
    <font/>
    <font>
      <color theme="1"/>
      <name val="Arial"/>
      <scheme val="minor"/>
    </font>
    <font>
      <b/>
      <sz val="11.0"/>
      <color rgb="FFFFFFFF"/>
      <name val="Crimson Text"/>
    </font>
    <font>
      <color theme="1"/>
      <name val="Crimson Text"/>
    </font>
    <font>
      <sz val="11.0"/>
      <color rgb="FFFFFFFF"/>
      <name val="Crimson Text"/>
    </font>
    <font>
      <sz val="9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Crimson Text"/>
    </font>
  </fonts>
  <fills count="13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2" fillId="3" fontId="4" numFmtId="0" xfId="0" applyAlignment="1" applyBorder="1" applyFill="1" applyFont="1">
      <alignment horizontal="center" readingOrder="0" shrinkToFit="0" vertical="center" wrapText="1"/>
    </xf>
    <xf borderId="3" fillId="0" fontId="5" numFmtId="0" xfId="0" applyBorder="1" applyFont="1"/>
    <xf borderId="2" fillId="3" fontId="4" numFmtId="0" xfId="0" applyAlignment="1" applyBorder="1" applyFill="1" applyFont="1">
      <alignment vertical="center"/>
    </xf>
    <xf borderId="4" fillId="0" fontId="5" numFmtId="0" xfId="0" applyBorder="1" applyFont="1"/>
    <xf borderId="2" fillId="3" fontId="4" numFmtId="0" xfId="0" applyAlignment="1" applyBorder="1" applyFill="1" applyFont="1">
      <alignment horizontal="center" vertical="center"/>
    </xf>
    <xf borderId="2" fillId="3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shrinkToFit="0" wrapText="1"/>
    </xf>
    <xf borderId="0" fillId="0" fontId="6" numFmtId="0" xfId="0" applyAlignment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readingOrder="0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0" fillId="4" fontId="3" numFmtId="0" xfId="0" applyAlignment="1" applyFill="1" applyFont="1">
      <alignment horizontal="center" shrinkToFit="0" vertical="center" wrapText="1"/>
    </xf>
    <xf borderId="1" fillId="5" fontId="4" numFmtId="0" xfId="0" applyAlignment="1" applyBorder="1" applyFill="1" applyFont="1">
      <alignment horizontal="center" readingOrder="0" shrinkToFit="0" vertical="center" wrapText="1"/>
    </xf>
    <xf borderId="1" fillId="5" fontId="8" numFmtId="0" xfId="0" applyAlignment="1" applyBorder="1" applyFill="1" applyFont="1">
      <alignment horizontal="center" readingOrder="0" shrinkToFit="0" vertical="center" wrapText="1"/>
    </xf>
    <xf borderId="1" fillId="5" fontId="9" numFmtId="49" xfId="0" applyAlignment="1" applyBorder="1" applyFill="1" applyFont="1" applyNumberFormat="1">
      <alignment horizontal="center" readingOrder="0" shrinkToFit="0" vertical="center" wrapText="1"/>
    </xf>
    <xf borderId="1" fillId="5" fontId="6" numFmtId="0" xfId="0" applyAlignment="1" applyBorder="1" applyFill="1" applyFont="1">
      <alignment horizontal="center" readingOrder="0" shrinkToFit="0" vertical="center" wrapText="1"/>
    </xf>
    <xf borderId="0" fillId="5" fontId="6" numFmtId="0" xfId="0" applyAlignment="1" applyFill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shrinkToFit="0" wrapText="1"/>
    </xf>
    <xf borderId="1" fillId="0" fontId="11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0" fillId="0" fontId="10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  <xf borderId="0" fillId="8" fontId="2" numFmtId="0" xfId="0" applyAlignment="1" applyFill="1" applyFont="1">
      <alignment horizontal="right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9" fontId="6" numFmtId="0" xfId="0" applyAlignment="1" applyBorder="1" applyFill="1" applyFont="1">
      <alignment horizontal="center" readingOrder="0" shrinkToFit="0" vertical="center" wrapText="1"/>
    </xf>
    <xf borderId="1" fillId="10" fontId="6" numFmtId="0" xfId="0" applyAlignment="1" applyBorder="1" applyFill="1" applyFont="1">
      <alignment horizontal="center" readingOrder="0" shrinkToFit="0" vertical="center" wrapText="1"/>
    </xf>
    <xf borderId="1" fillId="11" fontId="6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  <xf borderId="0" fillId="12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535FC1"/>
          <bgColor rgb="FF535FC1"/>
        </patternFill>
      </fill>
      <border/>
    </dxf>
  </dxfs>
  <tableStyles count="18"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N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L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AGOST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AGOST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PTIEMBRE 2026-style">
      <tableStyleElement dxfId="7" type="headerRow"/>
      <tableStyleElement dxfId="2" type="firstRowStripe"/>
      <tableStyleElement dxfId="3" type="secondRowStripe"/>
      <tableStyleElement dxfId="6" size="0" type="wholeTable"/>
    </tableStyle>
    <tableStyle count="4" pivot="0" name="OCTUBRE 2026-style">
      <tableStyleElement dxfId="7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2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4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1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3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totalsRowCount="1" ref="A1:D27" displayName="Table1_6" name="Table1_6" id="11">
  <tableColumns count="4">
    <tableColumn name="Totales" id="1"/>
    <tableColumn totalsRowFunction="custom"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totalsRowCount="1" ref="A1:D27" displayName="Table1_3" name="Table1_3" id="13">
  <tableColumns count="4">
    <tableColumn name="Totales" id="1"/>
    <tableColumn totalsRowFunction="custom"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ables/table15.xml><?xml version="1.0" encoding="utf-8"?>
<table xmlns="http://schemas.openxmlformats.org/spreadsheetml/2006/main" totalsRowCount="1" ref="A1:D29" displayName="Table1_7" name="Table1_7" id="15">
  <tableColumns count="4">
    <tableColumn name="Totales" id="1"/>
    <tableColumn totalsRowFunction="custom" name="Column 2" id="2"/>
    <tableColumn name="Column 3" id="3"/>
    <tableColumn name="Column 4" id="4"/>
  </tableColumns>
  <tableStyleInfo name="AGOSTO 2026-style" showColumnStripes="0" showFirstColumn="1" showLastColumn="1" showRowStripes="1"/>
</table>
</file>

<file path=xl/tables/table16.xml><?xml version="1.0" encoding="utf-8"?>
<table xmlns="http://schemas.openxmlformats.org/spreadsheetml/2006/main" ref="J2:R25" displayName="Table2_8" name="Table2_8" id="1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GOSTO 2026-style 2" showColumnStripes="0" showFirstColumn="1" showLastColumn="1" showRowStripes="1"/>
</table>
</file>

<file path=xl/tables/table17.xml><?xml version="1.0" encoding="utf-8"?>
<table xmlns="http://schemas.openxmlformats.org/spreadsheetml/2006/main" ref="A2:I32" displayName="Table3" name="Table3" id="17">
  <tableColumns count="9">
    <tableColumn name="ASESOR" id="1"/>
    <tableColumn name="PROPIEDADES OPCIONADAS" id="2"/>
    <tableColumn name="RENTA" id="3"/>
    <tableColumn name="VENTA" id="4"/>
    <tableColumn name="LEADS" id="5"/>
    <tableColumn name="RECORRIDOS" id="6"/>
    <tableColumn name="NO. OPCIONES MOSTRADAS" id="7"/>
    <tableColumn name="RENTA TOTAL" id="8"/>
    <tableColumn name="VENTA TOTAL" id="9"/>
  </tableColumns>
  <tableStyleInfo name="SEPTIEMBRE 2026-style" showColumnStripes="0" showFirstColumn="1" showLastColumn="1" showRowStripes="1"/>
</table>
</file>

<file path=xl/tables/table18.xml><?xml version="1.0" encoding="utf-8"?>
<table xmlns="http://schemas.openxmlformats.org/spreadsheetml/2006/main" ref="A2:J30" displayName="Table3_2" name="Table3_2" id="18">
  <tableColumns count="10">
    <tableColumn name="ASESOR" id="1"/>
    <tableColumn name="PROPIEDADES OPCIONADAS" id="2"/>
    <tableColumn name="RENTA" id="3"/>
    <tableColumn name="VENTA" id="4"/>
    <tableColumn name="DESARROLLOS" id="5"/>
    <tableColumn name="LEADS" id="6"/>
    <tableColumn name="RECORRIDOS" id="7"/>
    <tableColumn name="NO. OPCIONES MOSTRADAS" id="8"/>
    <tableColumn name="RENTA TOTAL" id="9"/>
    <tableColumn name="VENTA TOTAL" id="10"/>
  </tableColumns>
  <tableStyleInfo name="OCTUBRE 2026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1</v>
      </c>
      <c r="B1" s="5" t="s">
        <v>2</v>
      </c>
      <c r="C1" s="5" t="s">
        <v>3</v>
      </c>
      <c r="D1" s="5" t="s">
        <v>4</v>
      </c>
      <c r="E1" s="1">
        <f t="shared" ref="E1:I1" si="1">SUM(E3:E26)</f>
        <v>576</v>
      </c>
      <c r="F1" s="1">
        <f t="shared" si="1"/>
        <v>150</v>
      </c>
      <c r="G1" s="1">
        <f t="shared" si="1"/>
        <v>216</v>
      </c>
      <c r="H1" s="7">
        <f t="shared" si="1"/>
        <v>194000</v>
      </c>
      <c r="I1" s="7">
        <f t="shared" si="1"/>
        <v>5261000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17.2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</row>
    <row r="3" ht="22.5" hidden="1" customHeight="1">
      <c r="A3" s="36" t="s">
        <v>24</v>
      </c>
      <c r="B3" s="36">
        <v>3.0</v>
      </c>
      <c r="C3" s="36">
        <v>1.0</v>
      </c>
      <c r="D3" s="36">
        <v>2.0</v>
      </c>
      <c r="E3" s="34">
        <v>0.0</v>
      </c>
      <c r="F3" s="35">
        <v>0.0</v>
      </c>
      <c r="G3" s="35">
        <v>0.0</v>
      </c>
      <c r="H3" s="37"/>
      <c r="I3" s="37"/>
      <c r="J3" s="42"/>
      <c r="K3" s="42"/>
      <c r="L3" s="42"/>
      <c r="M3" s="42"/>
      <c r="N3" s="38"/>
      <c r="O3" s="42"/>
      <c r="P3" s="42"/>
      <c r="Q3" s="44"/>
      <c r="R3" s="44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ht="22.5" customHeight="1">
      <c r="A4" s="40" t="s">
        <v>26</v>
      </c>
      <c r="B4" s="36">
        <v>6.0</v>
      </c>
      <c r="C4" s="36">
        <v>4.0</v>
      </c>
      <c r="D4" s="36">
        <v>2.0</v>
      </c>
      <c r="E4" s="34">
        <v>61.0</v>
      </c>
      <c r="F4" s="34">
        <v>18.0</v>
      </c>
      <c r="G4" s="34">
        <v>23.0</v>
      </c>
      <c r="H4" s="37"/>
      <c r="I4" s="48">
        <v>1986000.0</v>
      </c>
      <c r="J4" s="42"/>
      <c r="K4" s="42"/>
      <c r="L4" s="42"/>
      <c r="M4" s="53"/>
      <c r="N4" s="38"/>
      <c r="O4" s="42"/>
      <c r="P4" s="42"/>
      <c r="Q4" s="44"/>
      <c r="R4" s="44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</row>
    <row r="5" ht="22.5" customHeight="1">
      <c r="A5" s="40" t="s">
        <v>28</v>
      </c>
      <c r="B5" s="36">
        <v>1.0</v>
      </c>
      <c r="C5" s="38"/>
      <c r="D5" s="36">
        <v>1.0</v>
      </c>
      <c r="E5" s="34">
        <v>38.0</v>
      </c>
      <c r="F5" s="34">
        <v>10.0</v>
      </c>
      <c r="G5" s="34">
        <v>12.0</v>
      </c>
      <c r="H5" s="48">
        <v>47000.0</v>
      </c>
      <c r="I5" s="48"/>
      <c r="J5" s="53">
        <v>1.0</v>
      </c>
      <c r="K5" s="53">
        <v>1.0</v>
      </c>
      <c r="L5" s="42"/>
      <c r="M5" s="53">
        <v>1.0</v>
      </c>
      <c r="N5" s="38"/>
      <c r="O5" s="53">
        <v>20.0</v>
      </c>
      <c r="P5" s="53">
        <v>5.0</v>
      </c>
      <c r="Q5" s="56">
        <v>8000.0</v>
      </c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</row>
    <row r="6" ht="22.5" customHeight="1">
      <c r="A6" s="40" t="s">
        <v>29</v>
      </c>
      <c r="B6" s="36">
        <v>5.5</v>
      </c>
      <c r="C6" s="38"/>
      <c r="D6" s="36">
        <v>6.0</v>
      </c>
      <c r="E6" s="34">
        <v>61.0</v>
      </c>
      <c r="F6" s="34">
        <v>17.0</v>
      </c>
      <c r="G6" s="34">
        <v>22.0</v>
      </c>
      <c r="H6" s="37"/>
      <c r="I6" s="48">
        <v>1650000.0</v>
      </c>
      <c r="J6" s="42"/>
      <c r="K6" s="42"/>
      <c r="L6" s="42"/>
      <c r="M6" s="42"/>
      <c r="N6" s="38"/>
      <c r="O6" s="42"/>
      <c r="P6" s="42"/>
      <c r="Q6" s="44"/>
      <c r="R6" s="44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</row>
    <row r="7" ht="22.5" customHeight="1">
      <c r="A7" s="40" t="s">
        <v>31</v>
      </c>
      <c r="B7" s="38"/>
      <c r="C7" s="38"/>
      <c r="D7" s="38"/>
      <c r="E7" s="34">
        <v>50.0</v>
      </c>
      <c r="F7" s="34">
        <v>9.0</v>
      </c>
      <c r="G7" s="34">
        <v>13.0</v>
      </c>
      <c r="H7" s="48">
        <v>19500.0</v>
      </c>
      <c r="I7" s="48"/>
      <c r="J7" s="53"/>
      <c r="K7" s="53"/>
      <c r="L7" s="53">
        <v>2.0</v>
      </c>
      <c r="M7" s="53">
        <v>2.0</v>
      </c>
      <c r="N7" s="38"/>
      <c r="O7" s="53">
        <v>22.0</v>
      </c>
      <c r="P7" s="53">
        <v>12.0</v>
      </c>
      <c r="Q7" s="56">
        <v>60000.0</v>
      </c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</row>
    <row r="8" ht="22.5" customHeight="1">
      <c r="A8" s="36" t="s">
        <v>33</v>
      </c>
      <c r="B8" s="38"/>
      <c r="C8" s="38"/>
      <c r="D8" s="38"/>
      <c r="E8" s="64"/>
      <c r="F8" s="34">
        <v>0.0</v>
      </c>
      <c r="G8" s="34">
        <v>0.0</v>
      </c>
      <c r="H8" s="61"/>
      <c r="I8" s="61"/>
      <c r="J8" s="42"/>
      <c r="K8" s="42"/>
      <c r="L8" s="42"/>
      <c r="M8" s="42"/>
      <c r="N8" s="38"/>
      <c r="O8" s="42"/>
      <c r="P8" s="42"/>
      <c r="Q8" s="44"/>
      <c r="R8" s="44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 ht="22.5" customHeight="1">
      <c r="A9" s="40" t="s">
        <v>34</v>
      </c>
      <c r="B9" s="36">
        <v>0.5</v>
      </c>
      <c r="C9" s="36">
        <v>1.0</v>
      </c>
      <c r="D9" s="36">
        <v>3.0</v>
      </c>
      <c r="E9" s="34">
        <v>13.0</v>
      </c>
      <c r="F9" s="34">
        <v>1.0</v>
      </c>
      <c r="G9" s="34">
        <v>1.0</v>
      </c>
      <c r="H9" s="48">
        <v>23000.0</v>
      </c>
      <c r="I9" s="37"/>
      <c r="J9" s="53">
        <v>1.0</v>
      </c>
      <c r="K9" s="53">
        <v>1.0</v>
      </c>
      <c r="L9" s="53">
        <v>0.5</v>
      </c>
      <c r="M9" s="53">
        <v>1.0</v>
      </c>
      <c r="N9" s="36"/>
      <c r="O9" s="53">
        <v>25.0</v>
      </c>
      <c r="P9" s="53">
        <v>15.0</v>
      </c>
      <c r="Q9" s="56">
        <v>25000.0</v>
      </c>
      <c r="R9" s="44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</row>
    <row r="10" ht="22.5" customHeight="1">
      <c r="A10" s="40" t="s">
        <v>32</v>
      </c>
      <c r="B10" s="36">
        <v>1.0</v>
      </c>
      <c r="C10" s="36">
        <v>1.0</v>
      </c>
      <c r="D10" s="38"/>
      <c r="E10" s="34">
        <v>34.0</v>
      </c>
      <c r="F10" s="34">
        <v>19.0</v>
      </c>
      <c r="G10" s="34">
        <v>37.0</v>
      </c>
      <c r="H10" s="48">
        <v>57500.0</v>
      </c>
      <c r="I10" s="61"/>
      <c r="J10" s="53"/>
      <c r="K10" s="53"/>
      <c r="L10" s="53">
        <v>1.0</v>
      </c>
      <c r="M10" s="53">
        <v>1.0</v>
      </c>
      <c r="N10" s="38"/>
      <c r="O10" s="42"/>
      <c r="P10" s="42"/>
      <c r="Q10" s="44"/>
      <c r="R10" s="44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</row>
    <row r="11" ht="22.5" customHeight="1">
      <c r="A11" s="40" t="s">
        <v>36</v>
      </c>
      <c r="B11" s="36">
        <v>1.0</v>
      </c>
      <c r="C11" s="38"/>
      <c r="D11" s="36">
        <v>1.0</v>
      </c>
      <c r="E11" s="34">
        <v>31.0</v>
      </c>
      <c r="F11" s="34">
        <v>8.0</v>
      </c>
      <c r="G11" s="34">
        <v>13.0</v>
      </c>
      <c r="H11" s="61"/>
      <c r="I11" s="61"/>
      <c r="J11" s="53">
        <v>2.0</v>
      </c>
      <c r="K11" s="53">
        <v>2.0</v>
      </c>
      <c r="L11" s="53">
        <v>1.0</v>
      </c>
      <c r="M11" s="53">
        <v>1.0</v>
      </c>
      <c r="N11" s="36"/>
      <c r="O11" s="53">
        <v>30.0</v>
      </c>
      <c r="P11" s="53">
        <v>10.0</v>
      </c>
      <c r="Q11" s="56">
        <v>15000.0</v>
      </c>
      <c r="R11" s="44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</row>
    <row r="12" ht="22.5" customHeight="1">
      <c r="A12" s="40" t="s">
        <v>37</v>
      </c>
      <c r="B12" s="38"/>
      <c r="C12" s="38"/>
      <c r="D12" s="38"/>
      <c r="E12" s="34">
        <v>41.0</v>
      </c>
      <c r="F12" s="34">
        <v>23.0</v>
      </c>
      <c r="G12" s="34">
        <v>27.0</v>
      </c>
      <c r="H12" s="48"/>
      <c r="I12" s="48">
        <v>1625000.0</v>
      </c>
      <c r="J12" s="53">
        <v>1.0</v>
      </c>
      <c r="K12" s="42"/>
      <c r="L12" s="53">
        <v>1.0</v>
      </c>
      <c r="M12" s="42"/>
      <c r="N12" s="38"/>
      <c r="O12" s="53">
        <v>17.0</v>
      </c>
      <c r="P12" s="53">
        <v>18.0</v>
      </c>
      <c r="Q12" s="56">
        <v>18000.0</v>
      </c>
      <c r="R12" s="56">
        <v>19000.0</v>
      </c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</row>
    <row r="13" ht="22.5" customHeight="1">
      <c r="A13" s="40" t="s">
        <v>38</v>
      </c>
      <c r="B13" s="36">
        <v>4.0</v>
      </c>
      <c r="C13" s="36">
        <v>1.0</v>
      </c>
      <c r="D13" s="36">
        <v>3.0</v>
      </c>
      <c r="E13" s="34">
        <v>35.0</v>
      </c>
      <c r="F13" s="34">
        <v>8.0</v>
      </c>
      <c r="G13" s="34">
        <v>11.0</v>
      </c>
      <c r="H13" s="48">
        <v>24000.0</v>
      </c>
      <c r="I13" s="61"/>
      <c r="J13" s="42"/>
      <c r="K13" s="42"/>
      <c r="L13" s="42"/>
      <c r="M13" s="42"/>
      <c r="N13" s="38"/>
      <c r="O13" s="42"/>
      <c r="P13" s="42"/>
      <c r="Q13" s="44"/>
      <c r="R13" s="44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</row>
    <row r="14" ht="22.5" customHeight="1">
      <c r="A14" s="40" t="s">
        <v>39</v>
      </c>
      <c r="B14" s="36">
        <v>3.0</v>
      </c>
      <c r="C14" s="36">
        <v>2.0</v>
      </c>
      <c r="D14" s="36">
        <v>1.0</v>
      </c>
      <c r="E14" s="34">
        <v>62.0</v>
      </c>
      <c r="F14" s="34">
        <v>8.0</v>
      </c>
      <c r="G14" s="34">
        <v>15.0</v>
      </c>
      <c r="H14" s="48">
        <v>23000.0</v>
      </c>
      <c r="I14" s="37"/>
      <c r="J14" s="42"/>
      <c r="K14" s="42"/>
      <c r="L14" s="42"/>
      <c r="M14" s="42"/>
      <c r="N14" s="38"/>
      <c r="O14" s="42"/>
      <c r="P14" s="42"/>
      <c r="Q14" s="44"/>
      <c r="R14" s="44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</row>
    <row r="15" ht="22.5" customHeight="1">
      <c r="A15" s="36" t="s">
        <v>40</v>
      </c>
      <c r="B15" s="38"/>
      <c r="C15" s="38"/>
      <c r="D15" s="38"/>
      <c r="E15" s="34">
        <v>11.0</v>
      </c>
      <c r="F15" s="34">
        <v>2.0</v>
      </c>
      <c r="G15" s="34">
        <v>2.0</v>
      </c>
      <c r="H15" s="61"/>
      <c r="I15" s="61"/>
      <c r="J15" s="53">
        <v>1.0</v>
      </c>
      <c r="K15" s="53">
        <v>2.0</v>
      </c>
      <c r="L15" s="53">
        <v>1.0</v>
      </c>
      <c r="M15" s="53">
        <v>1.0</v>
      </c>
      <c r="N15" s="36"/>
      <c r="O15" s="53">
        <v>15.0</v>
      </c>
      <c r="P15" s="53">
        <v>11.0</v>
      </c>
      <c r="Q15" s="56">
        <v>10000.0</v>
      </c>
      <c r="R15" s="44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</row>
    <row r="16" ht="22.5" customHeight="1">
      <c r="A16" s="40" t="s">
        <v>41</v>
      </c>
      <c r="B16" s="36">
        <v>1.0</v>
      </c>
      <c r="C16" s="36">
        <v>1.0</v>
      </c>
      <c r="D16" s="38"/>
      <c r="E16" s="34">
        <v>45.0</v>
      </c>
      <c r="F16" s="34">
        <v>12.0</v>
      </c>
      <c r="G16" s="34">
        <v>16.0</v>
      </c>
      <c r="H16" s="61"/>
      <c r="I16" s="61"/>
      <c r="J16" s="53">
        <v>3.0</v>
      </c>
      <c r="K16" s="53"/>
      <c r="L16" s="42"/>
      <c r="M16" s="53">
        <v>1.0</v>
      </c>
      <c r="N16" s="36"/>
      <c r="O16" s="53">
        <v>25.0</v>
      </c>
      <c r="P16" s="53">
        <v>16.0</v>
      </c>
      <c r="Q16" s="44"/>
      <c r="R16" s="44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</row>
    <row r="17" ht="22.5" customHeight="1">
      <c r="A17" s="40" t="s">
        <v>42</v>
      </c>
      <c r="B17" s="36">
        <v>2.0</v>
      </c>
      <c r="C17" s="36">
        <v>1.0</v>
      </c>
      <c r="D17" s="36">
        <v>1.0</v>
      </c>
      <c r="E17" s="34">
        <v>45.0</v>
      </c>
      <c r="F17" s="34">
        <v>9.0</v>
      </c>
      <c r="G17" s="34">
        <v>18.0</v>
      </c>
      <c r="H17" s="37"/>
      <c r="I17" s="37"/>
      <c r="J17" s="53">
        <v>1.0</v>
      </c>
      <c r="K17" s="53">
        <v>1.0</v>
      </c>
      <c r="L17" s="53">
        <v>1.0</v>
      </c>
      <c r="M17" s="53">
        <v>1.0</v>
      </c>
      <c r="N17" s="38"/>
      <c r="O17" s="53">
        <v>20.0</v>
      </c>
      <c r="P17" s="53">
        <v>5.0</v>
      </c>
      <c r="Q17" s="56">
        <v>36000.0</v>
      </c>
      <c r="R17" s="44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</row>
    <row r="18" ht="22.5" customHeight="1">
      <c r="A18" s="36" t="s">
        <v>45</v>
      </c>
      <c r="B18" s="38"/>
      <c r="C18" s="38"/>
      <c r="D18" s="38"/>
      <c r="E18" s="34"/>
      <c r="F18" s="34"/>
      <c r="G18" s="34"/>
      <c r="H18" s="61"/>
      <c r="I18" s="61"/>
      <c r="J18" s="53">
        <v>1.0</v>
      </c>
      <c r="K18" s="42"/>
      <c r="L18" s="53">
        <v>1.0</v>
      </c>
      <c r="M18" s="42"/>
      <c r="N18" s="38"/>
      <c r="O18" s="42"/>
      <c r="P18" s="42"/>
      <c r="Q18" s="44"/>
      <c r="R18" s="44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</row>
    <row r="19" ht="22.5" customHeight="1">
      <c r="A19" s="43" t="s">
        <v>46</v>
      </c>
      <c r="B19" s="58"/>
      <c r="C19" s="58"/>
      <c r="D19" s="58"/>
      <c r="E19" s="34">
        <v>34.0</v>
      </c>
      <c r="F19" s="34">
        <v>3.0</v>
      </c>
      <c r="G19" s="34">
        <v>3.0</v>
      </c>
      <c r="H19" s="61"/>
      <c r="I19" s="61"/>
      <c r="J19" s="42"/>
      <c r="K19" s="42"/>
      <c r="L19" s="42"/>
      <c r="M19" s="42"/>
      <c r="N19" s="38"/>
      <c r="O19" s="42"/>
      <c r="P19" s="42"/>
      <c r="Q19" s="44"/>
      <c r="R19" s="44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</row>
    <row r="20" ht="22.5" customHeight="1">
      <c r="A20" s="43" t="s">
        <v>47</v>
      </c>
      <c r="B20" s="58"/>
      <c r="C20" s="58"/>
      <c r="D20" s="58"/>
      <c r="E20" s="34">
        <v>15.0</v>
      </c>
      <c r="F20" s="34">
        <v>3.0</v>
      </c>
      <c r="G20" s="34">
        <v>3.0</v>
      </c>
      <c r="H20" s="61"/>
      <c r="I20" s="61"/>
      <c r="J20" s="42"/>
      <c r="K20" s="42"/>
      <c r="L20" s="42"/>
      <c r="M20" s="42"/>
      <c r="N20" s="38"/>
      <c r="O20" s="42"/>
      <c r="P20" s="42"/>
      <c r="Q20" s="44"/>
      <c r="R20" s="44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ht="22.5" customHeight="1">
      <c r="A21" s="43" t="s">
        <v>43</v>
      </c>
      <c r="B21" s="58"/>
      <c r="C21" s="58"/>
      <c r="D21" s="58"/>
      <c r="E21" s="64"/>
      <c r="F21" s="35">
        <v>0.0</v>
      </c>
      <c r="G21" s="35">
        <v>0.0</v>
      </c>
      <c r="H21" s="61"/>
      <c r="I21" s="61"/>
      <c r="J21" s="42"/>
      <c r="K21" s="42"/>
      <c r="L21" s="42"/>
      <c r="M21" s="42"/>
      <c r="N21" s="38"/>
      <c r="O21" s="42"/>
      <c r="P21" s="42"/>
      <c r="Q21" s="44"/>
      <c r="R21" s="44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 ht="22.5" customHeight="1">
      <c r="A22" s="43" t="s">
        <v>30</v>
      </c>
      <c r="B22" s="58"/>
      <c r="C22" s="58"/>
      <c r="D22" s="58"/>
      <c r="E22" s="64"/>
      <c r="F22" s="35">
        <v>0.0</v>
      </c>
      <c r="G22" s="35">
        <v>0.0</v>
      </c>
      <c r="H22" s="61"/>
      <c r="I22" s="61"/>
      <c r="J22" s="42"/>
      <c r="K22" s="42"/>
      <c r="L22" s="42"/>
      <c r="M22" s="42"/>
      <c r="N22" s="38"/>
      <c r="O22" s="42"/>
      <c r="P22" s="42"/>
      <c r="Q22" s="44"/>
      <c r="R22" s="44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ht="22.5" customHeight="1">
      <c r="A23" s="43" t="s">
        <v>49</v>
      </c>
      <c r="B23" s="58"/>
      <c r="C23" s="58"/>
      <c r="D23" s="58"/>
      <c r="E23" s="64"/>
      <c r="F23" s="35">
        <v>0.0</v>
      </c>
      <c r="G23" s="35">
        <v>0.0</v>
      </c>
      <c r="H23" s="61"/>
      <c r="I23" s="61"/>
      <c r="J23" s="42"/>
      <c r="K23" s="42"/>
      <c r="L23" s="42"/>
      <c r="M23" s="42"/>
      <c r="N23" s="38"/>
      <c r="O23" s="42"/>
      <c r="P23" s="42"/>
      <c r="Q23" s="44"/>
      <c r="R23" s="44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ht="22.5" customHeight="1">
      <c r="A24" s="43" t="s">
        <v>48</v>
      </c>
      <c r="B24" s="58"/>
      <c r="C24" s="58"/>
      <c r="D24" s="58"/>
      <c r="E24" s="64"/>
      <c r="F24" s="35">
        <v>0.0</v>
      </c>
      <c r="G24" s="35">
        <v>0.0</v>
      </c>
      <c r="H24" s="61"/>
      <c r="I24" s="61"/>
      <c r="J24" s="42"/>
      <c r="K24" s="42"/>
      <c r="L24" s="42"/>
      <c r="M24" s="42"/>
      <c r="N24" s="38"/>
      <c r="O24" s="42"/>
      <c r="P24" s="42"/>
      <c r="Q24" s="44"/>
      <c r="R24" s="44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ht="22.5" customHeight="1">
      <c r="A25" s="43" t="s">
        <v>35</v>
      </c>
      <c r="B25" s="58"/>
      <c r="C25" s="58"/>
      <c r="D25" s="58"/>
      <c r="E25" s="64"/>
      <c r="F25" s="35">
        <v>0.0</v>
      </c>
      <c r="G25" s="35">
        <v>0.0</v>
      </c>
      <c r="H25" s="61"/>
      <c r="I25" s="61"/>
      <c r="J25" s="42"/>
      <c r="K25" s="42"/>
      <c r="L25" s="42"/>
      <c r="M25" s="42"/>
      <c r="N25" s="38"/>
      <c r="O25" s="42"/>
      <c r="P25" s="42"/>
      <c r="Q25" s="44"/>
      <c r="R25" s="44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ht="22.5" customHeight="1">
      <c r="A26" s="43" t="s">
        <v>25</v>
      </c>
      <c r="B26" s="43">
        <v>1.5</v>
      </c>
      <c r="C26" s="58"/>
      <c r="D26" s="43">
        <v>3.0</v>
      </c>
      <c r="E26" s="64"/>
      <c r="F26" s="35">
        <v>0.0</v>
      </c>
      <c r="G26" s="35">
        <v>0.0</v>
      </c>
      <c r="H26" s="61"/>
      <c r="I26" s="61"/>
      <c r="J26" s="42"/>
      <c r="K26" s="42"/>
      <c r="L26" s="42"/>
      <c r="M26" s="42"/>
      <c r="N26" s="38"/>
      <c r="O26" s="42"/>
      <c r="P26" s="42"/>
      <c r="Q26" s="44"/>
      <c r="R26" s="44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>
      <c r="A27" s="15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</row>
    <row r="28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</row>
    <row r="29">
      <c r="A29" s="15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>
      <c r="A31" s="15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>
      <c r="A32" s="1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</row>
    <row r="33">
      <c r="A33" s="15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</row>
    <row r="34">
      <c r="A34" s="15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</row>
    <row r="35">
      <c r="A35" s="15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</row>
    <row r="36">
      <c r="A36" s="15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</row>
    <row r="37">
      <c r="A37" s="15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>
      <c r="A38" s="15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</row>
    <row r="39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</row>
    <row r="40">
      <c r="A40" s="15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</row>
    <row r="41">
      <c r="A41" s="15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</row>
    <row r="42">
      <c r="A42" s="15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</row>
    <row r="43">
      <c r="A43" s="15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</row>
    <row r="44">
      <c r="A44" s="15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>
      <c r="A45" s="15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</row>
    <row r="46">
      <c r="A46" s="15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</row>
    <row r="47">
      <c r="A47" s="15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</row>
    <row r="48">
      <c r="A48" s="15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</row>
    <row r="49">
      <c r="A49" s="15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</row>
    <row r="50">
      <c r="A50" s="15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</row>
    <row r="51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</row>
    <row r="52">
      <c r="A52" s="15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>
      <c r="A53" s="15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</row>
    <row r="54">
      <c r="A54" s="15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</row>
    <row r="5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>
      <c r="A56" s="1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</row>
    <row r="57">
      <c r="A57" s="15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</row>
    <row r="58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</row>
    <row r="59">
      <c r="A59" s="15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</row>
    <row r="60">
      <c r="A60" s="15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</row>
    <row r="61">
      <c r="A61" s="15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</row>
    <row r="62">
      <c r="A62" s="15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</row>
    <row r="63">
      <c r="A63" s="15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>
      <c r="A64" s="15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</row>
    <row r="65">
      <c r="A65" s="15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</row>
    <row r="66">
      <c r="A66" s="15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</row>
    <row r="67">
      <c r="A67" s="15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</row>
    <row r="68">
      <c r="A68" s="15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>
      <c r="A69" s="15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</row>
    <row r="70">
      <c r="A70" s="15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</row>
    <row r="7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</row>
    <row r="72">
      <c r="A72" s="15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>
      <c r="A73" s="15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</row>
    <row r="74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</row>
    <row r="75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</row>
    <row r="76">
      <c r="A76" s="15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>
      <c r="A78" s="15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>
      <c r="A79" s="1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>
      <c r="A80" s="15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>
      <c r="A81" s="15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</row>
    <row r="82">
      <c r="A82" s="15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</row>
    <row r="83">
      <c r="A83" s="1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>
      <c r="A84" s="15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</row>
    <row r="85">
      <c r="A85" s="15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</row>
    <row r="86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>
      <c r="A87" s="15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>
      <c r="A88" s="15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>
      <c r="A89" s="15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</row>
    <row r="90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</row>
    <row r="92">
      <c r="A92" s="15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</row>
    <row r="93">
      <c r="A93" s="15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>
      <c r="A94" s="15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</row>
    <row r="95">
      <c r="A95" s="15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</row>
    <row r="96">
      <c r="A96" s="15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</row>
    <row r="97">
      <c r="A97" s="15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</row>
    <row r="98">
      <c r="A98" s="15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>
      <c r="A99" s="15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</row>
    <row r="997">
      <c r="A997" s="15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SUM(E3:E25)</f>
        <v>388</v>
      </c>
      <c r="F1" s="1">
        <f t="shared" si="1"/>
        <v>96</v>
      </c>
      <c r="G1" s="1">
        <f t="shared" si="1"/>
        <v>180</v>
      </c>
      <c r="H1" s="7">
        <f t="shared" si="1"/>
        <v>237100</v>
      </c>
      <c r="I1" s="8">
        <f t="shared" si="1"/>
        <v>21740000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7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6" t="s">
        <v>24</v>
      </c>
      <c r="B3" s="36">
        <v>2.0</v>
      </c>
      <c r="C3" s="36">
        <v>4.0</v>
      </c>
      <c r="D3" s="36">
        <v>4.0</v>
      </c>
      <c r="E3" s="35"/>
      <c r="F3" s="35">
        <v>0.0</v>
      </c>
      <c r="G3" s="35">
        <v>0.0</v>
      </c>
      <c r="H3" s="39"/>
      <c r="I3" s="41"/>
      <c r="J3" s="38"/>
      <c r="K3" s="38"/>
      <c r="L3" s="38"/>
      <c r="M3" s="38"/>
      <c r="N3" s="38"/>
      <c r="O3" s="38"/>
      <c r="P3" s="38"/>
      <c r="Q3" s="44"/>
      <c r="R3" s="44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40" t="s">
        <v>26</v>
      </c>
      <c r="B4" s="36">
        <v>4.0</v>
      </c>
      <c r="C4" s="36"/>
      <c r="D4" s="36">
        <v>4.0</v>
      </c>
      <c r="E4" s="49">
        <v>66.0</v>
      </c>
      <c r="F4" s="34">
        <v>6.0</v>
      </c>
      <c r="G4" s="34">
        <v>17.0</v>
      </c>
      <c r="H4" s="39"/>
      <c r="I4" s="41">
        <v>8970000.0</v>
      </c>
      <c r="J4" s="38"/>
      <c r="K4" s="38"/>
      <c r="L4" s="38"/>
      <c r="M4" s="38"/>
      <c r="N4" s="38"/>
      <c r="O4" s="38"/>
      <c r="P4" s="38"/>
      <c r="Q4" s="44"/>
      <c r="R4" s="44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40" t="s">
        <v>28</v>
      </c>
      <c r="B5" s="36">
        <v>2.0</v>
      </c>
      <c r="C5" s="36">
        <v>1.0</v>
      </c>
      <c r="D5" s="36">
        <v>1.0</v>
      </c>
      <c r="E5" s="34">
        <v>24.0</v>
      </c>
      <c r="F5" s="34">
        <v>3.0</v>
      </c>
      <c r="G5" s="34">
        <v>6.0</v>
      </c>
      <c r="H5" s="57">
        <v>15000.0</v>
      </c>
      <c r="I5" s="41"/>
      <c r="J5" s="38"/>
      <c r="K5" s="36"/>
      <c r="L5" s="38"/>
      <c r="M5" s="38"/>
      <c r="N5" s="38"/>
      <c r="O5" s="38"/>
      <c r="P5" s="38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40" t="s">
        <v>29</v>
      </c>
      <c r="B6" s="36">
        <v>5.0</v>
      </c>
      <c r="C6" s="36">
        <v>3.0</v>
      </c>
      <c r="D6" s="36">
        <v>2.0</v>
      </c>
      <c r="E6" s="34">
        <v>40.0</v>
      </c>
      <c r="F6" s="34">
        <v>13.0</v>
      </c>
      <c r="G6" s="34">
        <v>19.0</v>
      </c>
      <c r="H6" s="39">
        <v>61000.0</v>
      </c>
      <c r="I6" s="41">
        <v>6150000.0</v>
      </c>
      <c r="J6" s="38"/>
      <c r="K6" s="38"/>
      <c r="L6" s="38"/>
      <c r="M6" s="38"/>
      <c r="N6" s="38"/>
      <c r="O6" s="38"/>
      <c r="P6" s="38"/>
      <c r="Q6" s="44"/>
      <c r="R6" s="44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6" t="s">
        <v>31</v>
      </c>
      <c r="B7" s="36">
        <v>1.0</v>
      </c>
      <c r="C7" s="36">
        <v>1.0</v>
      </c>
      <c r="D7" s="38"/>
      <c r="E7" s="34">
        <v>16.0</v>
      </c>
      <c r="F7" s="34">
        <v>5.0</v>
      </c>
      <c r="G7" s="34">
        <v>14.0</v>
      </c>
      <c r="H7" s="57"/>
      <c r="I7" s="41"/>
      <c r="J7" s="38"/>
      <c r="K7" s="38"/>
      <c r="L7" s="38"/>
      <c r="M7" s="38"/>
      <c r="N7" s="38"/>
      <c r="O7" s="38"/>
      <c r="P7" s="38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6" t="s">
        <v>33</v>
      </c>
      <c r="B8" s="38"/>
      <c r="C8" s="38"/>
      <c r="D8" s="38"/>
      <c r="E8" s="34">
        <v>1.0</v>
      </c>
      <c r="F8" s="34">
        <v>1.0</v>
      </c>
      <c r="G8" s="34">
        <v>3.0</v>
      </c>
      <c r="H8" s="62"/>
      <c r="I8" s="63"/>
      <c r="J8" s="38"/>
      <c r="K8" s="38"/>
      <c r="L8" s="38"/>
      <c r="M8" s="38"/>
      <c r="N8" s="38"/>
      <c r="O8" s="38"/>
      <c r="P8" s="38"/>
      <c r="Q8" s="44"/>
      <c r="R8" s="44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6" t="s">
        <v>34</v>
      </c>
      <c r="B9" s="36"/>
      <c r="C9" s="38"/>
      <c r="D9" s="36"/>
      <c r="E9" s="34">
        <v>21.0</v>
      </c>
      <c r="F9" s="34">
        <v>3.0</v>
      </c>
      <c r="G9" s="34">
        <v>11.0</v>
      </c>
      <c r="H9" s="57"/>
      <c r="I9" s="41"/>
      <c r="J9" s="36">
        <v>1.0</v>
      </c>
      <c r="K9" s="36">
        <v>1.0</v>
      </c>
      <c r="L9" s="36">
        <v>1.0</v>
      </c>
      <c r="M9" s="36">
        <v>1.0</v>
      </c>
      <c r="N9" s="36"/>
      <c r="O9" s="36">
        <v>10.0</v>
      </c>
      <c r="P9" s="36">
        <v>9.0</v>
      </c>
      <c r="Q9" s="56"/>
      <c r="R9" s="44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40" t="s">
        <v>32</v>
      </c>
      <c r="B10" s="36">
        <v>6.0</v>
      </c>
      <c r="C10" s="36">
        <v>2.0</v>
      </c>
      <c r="D10" s="36">
        <v>4.0</v>
      </c>
      <c r="E10" s="34">
        <v>15.0</v>
      </c>
      <c r="F10" s="34">
        <v>6.0</v>
      </c>
      <c r="G10" s="34">
        <v>12.0</v>
      </c>
      <c r="H10" s="57">
        <v>117100.0</v>
      </c>
      <c r="I10" s="41">
        <v>2820000.0</v>
      </c>
      <c r="J10" s="38"/>
      <c r="K10" s="38"/>
      <c r="L10" s="36">
        <v>1.0</v>
      </c>
      <c r="M10" s="36">
        <v>1.0</v>
      </c>
      <c r="N10" s="38"/>
      <c r="O10" s="38"/>
      <c r="P10" s="38"/>
      <c r="Q10" s="44"/>
      <c r="R10" s="44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6" t="s">
        <v>36</v>
      </c>
      <c r="B11" s="36">
        <v>1.0</v>
      </c>
      <c r="C11" s="38"/>
      <c r="D11" s="36">
        <v>1.0</v>
      </c>
      <c r="E11" s="34">
        <v>19.0</v>
      </c>
      <c r="F11" s="34">
        <v>4.0</v>
      </c>
      <c r="G11" s="34">
        <v>6.0</v>
      </c>
      <c r="H11" s="62"/>
      <c r="I11" s="63"/>
      <c r="J11" s="36">
        <v>1.0</v>
      </c>
      <c r="K11" s="36">
        <v>1.0</v>
      </c>
      <c r="L11" s="36">
        <v>1.0</v>
      </c>
      <c r="M11" s="36">
        <v>1.0</v>
      </c>
      <c r="N11" s="36"/>
      <c r="O11" s="36">
        <v>30.0</v>
      </c>
      <c r="P11" s="36">
        <v>10.0</v>
      </c>
      <c r="Q11" s="56"/>
      <c r="R11" s="44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6" t="s">
        <v>37</v>
      </c>
      <c r="B12" s="36">
        <v>2.0</v>
      </c>
      <c r="C12" s="36">
        <v>1.0</v>
      </c>
      <c r="D12" s="36">
        <v>1.0</v>
      </c>
      <c r="E12" s="34">
        <v>31.0</v>
      </c>
      <c r="F12" s="34">
        <v>20.0</v>
      </c>
      <c r="G12" s="34">
        <v>20.0</v>
      </c>
      <c r="H12" s="57"/>
      <c r="I12" s="41"/>
      <c r="J12" s="36">
        <v>1.0</v>
      </c>
      <c r="K12" s="36">
        <v>1.0</v>
      </c>
      <c r="L12" s="36">
        <v>1.0</v>
      </c>
      <c r="M12" s="36">
        <v>1.0</v>
      </c>
      <c r="N12" s="38"/>
      <c r="O12" s="38"/>
      <c r="P12" s="38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40" t="s">
        <v>38</v>
      </c>
      <c r="B13" s="36">
        <v>5.0</v>
      </c>
      <c r="C13" s="36">
        <v>2.0</v>
      </c>
      <c r="D13" s="36">
        <v>4.0</v>
      </c>
      <c r="E13" s="34">
        <v>31.0</v>
      </c>
      <c r="F13" s="34">
        <v>11.0</v>
      </c>
      <c r="G13" s="34">
        <v>28.0</v>
      </c>
      <c r="H13" s="57">
        <v>17000.0</v>
      </c>
      <c r="I13" s="41">
        <v>1900000.0</v>
      </c>
      <c r="J13" s="36">
        <v>3.0</v>
      </c>
      <c r="K13" s="36">
        <v>1.0</v>
      </c>
      <c r="L13" s="36">
        <v>1.0</v>
      </c>
      <c r="M13" s="36">
        <v>2.0</v>
      </c>
      <c r="N13" s="38"/>
      <c r="O13" s="38"/>
      <c r="P13" s="38"/>
      <c r="Q13" s="44"/>
      <c r="R13" s="44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6" t="s">
        <v>39</v>
      </c>
      <c r="B14" s="36"/>
      <c r="C14" s="36"/>
      <c r="D14" s="36"/>
      <c r="E14" s="34">
        <v>34.0</v>
      </c>
      <c r="F14" s="34">
        <v>5.0</v>
      </c>
      <c r="G14" s="34">
        <v>7.0</v>
      </c>
      <c r="H14" s="57"/>
      <c r="I14" s="41"/>
      <c r="J14" s="38"/>
      <c r="K14" s="38"/>
      <c r="L14" s="38"/>
      <c r="M14" s="38"/>
      <c r="N14" s="38"/>
      <c r="O14" s="38"/>
      <c r="P14" s="38"/>
      <c r="Q14" s="44"/>
      <c r="R14" s="44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40" t="s">
        <v>40</v>
      </c>
      <c r="B15" s="36">
        <v>1.0</v>
      </c>
      <c r="C15" s="38"/>
      <c r="D15" s="36">
        <v>1.0</v>
      </c>
      <c r="E15" s="34">
        <v>17.0</v>
      </c>
      <c r="F15" s="34">
        <v>3.0</v>
      </c>
      <c r="G15" s="34">
        <v>3.0</v>
      </c>
      <c r="H15" s="39">
        <v>9500.0</v>
      </c>
      <c r="I15" s="63"/>
      <c r="J15" s="36">
        <v>1.0</v>
      </c>
      <c r="K15" s="36">
        <v>1.0</v>
      </c>
      <c r="L15" s="36">
        <v>1.0</v>
      </c>
      <c r="M15" s="36">
        <v>1.0</v>
      </c>
      <c r="N15" s="36"/>
      <c r="O15" s="36">
        <v>12.0</v>
      </c>
      <c r="P15" s="36">
        <v>12.0</v>
      </c>
      <c r="Q15" s="56">
        <v>10000.0</v>
      </c>
      <c r="R15" s="44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6" t="s">
        <v>41</v>
      </c>
      <c r="B16" s="36">
        <v>1.0</v>
      </c>
      <c r="C16" s="38"/>
      <c r="D16" s="36">
        <v>1.0</v>
      </c>
      <c r="E16" s="34">
        <v>22.0</v>
      </c>
      <c r="F16" s="34">
        <v>4.0</v>
      </c>
      <c r="G16" s="34">
        <v>7.0</v>
      </c>
      <c r="H16" s="62"/>
      <c r="I16" s="63"/>
      <c r="J16" s="36">
        <v>1.0</v>
      </c>
      <c r="K16" s="36">
        <v>2.0</v>
      </c>
      <c r="L16" s="36">
        <v>1.0</v>
      </c>
      <c r="M16" s="36">
        <v>2.0</v>
      </c>
      <c r="N16" s="36"/>
      <c r="O16" s="36">
        <v>30.0</v>
      </c>
      <c r="P16" s="36">
        <v>20.0</v>
      </c>
      <c r="Q16" s="56">
        <v>2975000.0</v>
      </c>
      <c r="R16" s="44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40" t="s">
        <v>42</v>
      </c>
      <c r="B17" s="36"/>
      <c r="C17" s="36"/>
      <c r="D17" s="36"/>
      <c r="E17" s="34">
        <v>33.0</v>
      </c>
      <c r="F17" s="34">
        <v>3.0</v>
      </c>
      <c r="G17" s="34">
        <v>6.0</v>
      </c>
      <c r="H17" s="39">
        <v>17500.0</v>
      </c>
      <c r="I17" s="41"/>
      <c r="J17" s="38"/>
      <c r="K17" s="38"/>
      <c r="L17" s="38"/>
      <c r="M17" s="38"/>
      <c r="N17" s="38"/>
      <c r="O17" s="38"/>
      <c r="P17" s="38"/>
      <c r="Q17" s="56">
        <v>36000.0</v>
      </c>
      <c r="R17" s="44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6" t="s">
        <v>45</v>
      </c>
      <c r="B18" s="38"/>
      <c r="C18" s="38"/>
      <c r="D18" s="38"/>
      <c r="E18" s="34">
        <v>0.0</v>
      </c>
      <c r="F18" s="35">
        <v>0.0</v>
      </c>
      <c r="G18" s="35">
        <v>0.0</v>
      </c>
      <c r="H18" s="62"/>
      <c r="I18" s="63"/>
      <c r="J18" s="38"/>
      <c r="K18" s="38"/>
      <c r="L18" s="38"/>
      <c r="M18" s="38"/>
      <c r="N18" s="38"/>
      <c r="O18" s="38"/>
      <c r="P18" s="38"/>
      <c r="Q18" s="44"/>
      <c r="R18" s="44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40" t="s">
        <v>46</v>
      </c>
      <c r="B19" s="58"/>
      <c r="C19" s="58"/>
      <c r="D19" s="58"/>
      <c r="E19" s="34">
        <v>18.0</v>
      </c>
      <c r="F19" s="34">
        <v>7.0</v>
      </c>
      <c r="G19" s="34">
        <v>19.0</v>
      </c>
      <c r="H19" s="62"/>
      <c r="I19" s="41">
        <v>1900000.0</v>
      </c>
      <c r="J19" s="38"/>
      <c r="K19" s="38"/>
      <c r="L19" s="38"/>
      <c r="M19" s="38"/>
      <c r="N19" s="38"/>
      <c r="O19" s="38"/>
      <c r="P19" s="38"/>
      <c r="Q19" s="44"/>
      <c r="R19" s="44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43" t="s">
        <v>47</v>
      </c>
      <c r="B20" s="43"/>
      <c r="C20" s="58"/>
      <c r="D20" s="58"/>
      <c r="E20" s="34">
        <v>0.0</v>
      </c>
      <c r="F20" s="35">
        <v>2.0</v>
      </c>
      <c r="G20" s="35">
        <v>2.0</v>
      </c>
      <c r="H20" s="62"/>
      <c r="I20" s="63"/>
      <c r="J20" s="38"/>
      <c r="K20" s="38"/>
      <c r="L20" s="38"/>
      <c r="M20" s="38"/>
      <c r="N20" s="38"/>
      <c r="O20" s="38"/>
      <c r="P20" s="38"/>
      <c r="Q20" s="44"/>
      <c r="R20" s="44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43" t="s">
        <v>43</v>
      </c>
      <c r="B21" s="58"/>
      <c r="C21" s="58"/>
      <c r="D21" s="58"/>
      <c r="E21" s="34">
        <v>0.0</v>
      </c>
      <c r="F21" s="35">
        <v>0.0</v>
      </c>
      <c r="G21" s="35">
        <v>0.0</v>
      </c>
      <c r="H21" s="62"/>
      <c r="I21" s="63"/>
      <c r="J21" s="38"/>
      <c r="K21" s="38"/>
      <c r="L21" s="38"/>
      <c r="M21" s="38"/>
      <c r="N21" s="38"/>
      <c r="O21" s="38"/>
      <c r="P21" s="38"/>
      <c r="Q21" s="44"/>
      <c r="R21" s="44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43" t="s">
        <v>30</v>
      </c>
      <c r="B22" s="58"/>
      <c r="C22" s="58"/>
      <c r="D22" s="58"/>
      <c r="E22" s="34">
        <v>0.0</v>
      </c>
      <c r="F22" s="35">
        <v>0.0</v>
      </c>
      <c r="G22" s="35">
        <v>0.0</v>
      </c>
      <c r="H22" s="62"/>
      <c r="I22" s="63"/>
      <c r="J22" s="38"/>
      <c r="K22" s="38"/>
      <c r="L22" s="38"/>
      <c r="M22" s="38"/>
      <c r="N22" s="38"/>
      <c r="O22" s="38"/>
      <c r="P22" s="38"/>
      <c r="Q22" s="44"/>
      <c r="R22" s="44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43" t="s">
        <v>49</v>
      </c>
      <c r="B23" s="58"/>
      <c r="C23" s="58"/>
      <c r="D23" s="58"/>
      <c r="E23" s="34">
        <v>0.0</v>
      </c>
      <c r="F23" s="35">
        <v>0.0</v>
      </c>
      <c r="G23" s="35">
        <v>0.0</v>
      </c>
      <c r="H23" s="62"/>
      <c r="I23" s="63"/>
      <c r="J23" s="38"/>
      <c r="K23" s="38"/>
      <c r="L23" s="38"/>
      <c r="M23" s="38"/>
      <c r="N23" s="38"/>
      <c r="O23" s="38"/>
      <c r="P23" s="38"/>
      <c r="Q23" s="44"/>
      <c r="R23" s="44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43" t="s">
        <v>50</v>
      </c>
      <c r="B24" s="58"/>
      <c r="C24" s="58"/>
      <c r="D24" s="58"/>
      <c r="E24" s="34">
        <v>0.0</v>
      </c>
      <c r="F24" s="35">
        <v>0.0</v>
      </c>
      <c r="G24" s="35">
        <v>0.0</v>
      </c>
      <c r="H24" s="62"/>
      <c r="I24" s="63"/>
      <c r="J24" s="38"/>
      <c r="K24" s="38"/>
      <c r="L24" s="38"/>
      <c r="M24" s="38"/>
      <c r="N24" s="38"/>
      <c r="O24" s="38"/>
      <c r="P24" s="38"/>
      <c r="Q24" s="44"/>
      <c r="R24" s="44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43" t="s">
        <v>35</v>
      </c>
      <c r="B25" s="58"/>
      <c r="C25" s="58"/>
      <c r="D25" s="58"/>
      <c r="E25" s="34">
        <v>0.0</v>
      </c>
      <c r="F25" s="35">
        <v>0.0</v>
      </c>
      <c r="G25" s="35">
        <v>0.0</v>
      </c>
      <c r="H25" s="62"/>
      <c r="I25" s="63"/>
      <c r="J25" s="38"/>
      <c r="K25" s="38"/>
      <c r="L25" s="38"/>
      <c r="M25" s="38"/>
      <c r="N25" s="38"/>
      <c r="O25" s="38"/>
      <c r="P25" s="38"/>
      <c r="Q25" s="44"/>
      <c r="R25" s="44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>
      <c r="A26" s="15"/>
      <c r="B26" s="16"/>
      <c r="C26" s="16"/>
      <c r="D26" s="16"/>
      <c r="E26" s="16"/>
      <c r="F26" s="16"/>
      <c r="G26" s="16"/>
      <c r="H26" s="16"/>
      <c r="I26" s="71"/>
      <c r="J26" s="16"/>
      <c r="K26" s="16"/>
      <c r="L26" s="16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6"/>
      <c r="C27" s="16"/>
      <c r="D27" s="16"/>
      <c r="E27" s="16"/>
      <c r="F27" s="16"/>
      <c r="G27" s="16"/>
      <c r="H27" s="16"/>
      <c r="I27" s="71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6"/>
      <c r="C28" s="16"/>
      <c r="D28" s="16"/>
      <c r="E28" s="16"/>
      <c r="F28" s="16"/>
      <c r="G28" s="16"/>
      <c r="H28" s="16"/>
      <c r="I28" s="71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6"/>
      <c r="C29" s="16"/>
      <c r="D29" s="16"/>
      <c r="E29" s="16"/>
      <c r="F29" s="16"/>
      <c r="G29" s="16"/>
      <c r="H29" s="16"/>
      <c r="I29" s="71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6"/>
      <c r="C30" s="16"/>
      <c r="D30" s="16"/>
      <c r="E30" s="16"/>
      <c r="F30" s="16"/>
      <c r="G30" s="16"/>
      <c r="H30" s="16"/>
      <c r="I30" s="71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6"/>
      <c r="C31" s="16"/>
      <c r="D31" s="16"/>
      <c r="E31" s="16"/>
      <c r="F31" s="16"/>
      <c r="G31" s="16"/>
      <c r="H31" s="16"/>
      <c r="I31" s="71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6"/>
      <c r="C32" s="16"/>
      <c r="D32" s="16"/>
      <c r="E32" s="16"/>
      <c r="F32" s="16"/>
      <c r="G32" s="16"/>
      <c r="H32" s="16"/>
      <c r="I32" s="71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6"/>
      <c r="C33" s="16"/>
      <c r="D33" s="16"/>
      <c r="E33" s="16"/>
      <c r="F33" s="16"/>
      <c r="G33" s="16"/>
      <c r="H33" s="16"/>
      <c r="I33" s="71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6"/>
      <c r="C34" s="16"/>
      <c r="D34" s="16"/>
      <c r="E34" s="16"/>
      <c r="F34" s="16"/>
      <c r="G34" s="16"/>
      <c r="H34" s="16"/>
      <c r="I34" s="71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6"/>
      <c r="C35" s="16"/>
      <c r="D35" s="16"/>
      <c r="E35" s="16"/>
      <c r="F35" s="16"/>
      <c r="G35" s="16"/>
      <c r="H35" s="16"/>
      <c r="I35" s="71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6"/>
      <c r="C36" s="16"/>
      <c r="D36" s="16"/>
      <c r="E36" s="16"/>
      <c r="F36" s="16"/>
      <c r="G36" s="16"/>
      <c r="H36" s="16"/>
      <c r="I36" s="71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6"/>
      <c r="C37" s="16"/>
      <c r="D37" s="16"/>
      <c r="E37" s="16"/>
      <c r="F37" s="16"/>
      <c r="G37" s="16"/>
      <c r="H37" s="16"/>
      <c r="I37" s="71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6"/>
      <c r="C38" s="16"/>
      <c r="D38" s="16"/>
      <c r="E38" s="16"/>
      <c r="F38" s="16"/>
      <c r="G38" s="16"/>
      <c r="H38" s="16"/>
      <c r="I38" s="71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6"/>
      <c r="C39" s="16"/>
      <c r="D39" s="16"/>
      <c r="E39" s="16"/>
      <c r="F39" s="16"/>
      <c r="G39" s="16"/>
      <c r="H39" s="16"/>
      <c r="I39" s="71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6"/>
      <c r="C40" s="16"/>
      <c r="D40" s="16"/>
      <c r="E40" s="16"/>
      <c r="F40" s="16"/>
      <c r="G40" s="16"/>
      <c r="H40" s="16"/>
      <c r="I40" s="71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6"/>
      <c r="C41" s="16"/>
      <c r="D41" s="16"/>
      <c r="E41" s="16"/>
      <c r="F41" s="16"/>
      <c r="G41" s="16"/>
      <c r="H41" s="16"/>
      <c r="I41" s="71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6"/>
      <c r="C42" s="16"/>
      <c r="D42" s="16"/>
      <c r="E42" s="16"/>
      <c r="F42" s="16"/>
      <c r="G42" s="16"/>
      <c r="H42" s="16"/>
      <c r="I42" s="71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6"/>
      <c r="C43" s="16"/>
      <c r="D43" s="16"/>
      <c r="E43" s="16"/>
      <c r="F43" s="16"/>
      <c r="G43" s="16"/>
      <c r="H43" s="16"/>
      <c r="I43" s="71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6"/>
      <c r="C44" s="16"/>
      <c r="D44" s="16"/>
      <c r="E44" s="16"/>
      <c r="F44" s="16"/>
      <c r="G44" s="16"/>
      <c r="H44" s="16"/>
      <c r="I44" s="71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6"/>
      <c r="C45" s="16"/>
      <c r="D45" s="16"/>
      <c r="E45" s="16"/>
      <c r="F45" s="16"/>
      <c r="G45" s="16"/>
      <c r="H45" s="16"/>
      <c r="I45" s="71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6"/>
      <c r="C46" s="16"/>
      <c r="D46" s="16"/>
      <c r="E46" s="16"/>
      <c r="F46" s="16"/>
      <c r="G46" s="16"/>
      <c r="H46" s="16"/>
      <c r="I46" s="71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6"/>
      <c r="C47" s="16"/>
      <c r="D47" s="16"/>
      <c r="E47" s="16"/>
      <c r="F47" s="16"/>
      <c r="G47" s="16"/>
      <c r="H47" s="16"/>
      <c r="I47" s="71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6"/>
      <c r="C48" s="16"/>
      <c r="D48" s="16"/>
      <c r="E48" s="16"/>
      <c r="F48" s="16"/>
      <c r="G48" s="16"/>
      <c r="H48" s="16"/>
      <c r="I48" s="71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6"/>
      <c r="C49" s="16"/>
      <c r="D49" s="16"/>
      <c r="E49" s="16"/>
      <c r="F49" s="16"/>
      <c r="G49" s="16"/>
      <c r="H49" s="16"/>
      <c r="I49" s="71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6"/>
      <c r="C50" s="16"/>
      <c r="D50" s="16"/>
      <c r="E50" s="16"/>
      <c r="F50" s="16"/>
      <c r="G50" s="16"/>
      <c r="H50" s="16"/>
      <c r="I50" s="71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6"/>
      <c r="C51" s="16"/>
      <c r="D51" s="16"/>
      <c r="E51" s="16"/>
      <c r="F51" s="16"/>
      <c r="G51" s="16"/>
      <c r="H51" s="16"/>
      <c r="I51" s="71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6"/>
      <c r="C52" s="16"/>
      <c r="D52" s="16"/>
      <c r="E52" s="16"/>
      <c r="F52" s="16"/>
      <c r="G52" s="16"/>
      <c r="H52" s="16"/>
      <c r="I52" s="71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6"/>
      <c r="C53" s="16"/>
      <c r="D53" s="16"/>
      <c r="E53" s="16"/>
      <c r="F53" s="16"/>
      <c r="G53" s="16"/>
      <c r="H53" s="16"/>
      <c r="I53" s="71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6"/>
      <c r="C54" s="16"/>
      <c r="D54" s="16"/>
      <c r="E54" s="16"/>
      <c r="F54" s="16"/>
      <c r="G54" s="16"/>
      <c r="H54" s="16"/>
      <c r="I54" s="71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6"/>
      <c r="C55" s="16"/>
      <c r="D55" s="16"/>
      <c r="E55" s="16"/>
      <c r="F55" s="16"/>
      <c r="G55" s="16"/>
      <c r="H55" s="16"/>
      <c r="I55" s="71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6"/>
      <c r="C56" s="16"/>
      <c r="D56" s="16"/>
      <c r="E56" s="16"/>
      <c r="F56" s="16"/>
      <c r="G56" s="16"/>
      <c r="H56" s="16"/>
      <c r="I56" s="71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6"/>
      <c r="C57" s="16"/>
      <c r="D57" s="16"/>
      <c r="E57" s="16"/>
      <c r="F57" s="16"/>
      <c r="G57" s="16"/>
      <c r="H57" s="16"/>
      <c r="I57" s="71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6"/>
      <c r="C58" s="16"/>
      <c r="D58" s="16"/>
      <c r="E58" s="16"/>
      <c r="F58" s="16"/>
      <c r="G58" s="16"/>
      <c r="H58" s="16"/>
      <c r="I58" s="71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6"/>
      <c r="C59" s="16"/>
      <c r="D59" s="16"/>
      <c r="E59" s="16"/>
      <c r="F59" s="16"/>
      <c r="G59" s="16"/>
      <c r="H59" s="16"/>
      <c r="I59" s="71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6"/>
      <c r="C60" s="16"/>
      <c r="D60" s="16"/>
      <c r="E60" s="16"/>
      <c r="F60" s="16"/>
      <c r="G60" s="16"/>
      <c r="H60" s="16"/>
      <c r="I60" s="71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6"/>
      <c r="C61" s="16"/>
      <c r="D61" s="16"/>
      <c r="E61" s="16"/>
      <c r="F61" s="16"/>
      <c r="G61" s="16"/>
      <c r="H61" s="16"/>
      <c r="I61" s="71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6"/>
      <c r="C62" s="16"/>
      <c r="D62" s="16"/>
      <c r="E62" s="16"/>
      <c r="F62" s="16"/>
      <c r="G62" s="16"/>
      <c r="H62" s="16"/>
      <c r="I62" s="71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6"/>
      <c r="C63" s="16"/>
      <c r="D63" s="16"/>
      <c r="E63" s="16"/>
      <c r="F63" s="16"/>
      <c r="G63" s="16"/>
      <c r="H63" s="16"/>
      <c r="I63" s="71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6"/>
      <c r="C64" s="16"/>
      <c r="D64" s="16"/>
      <c r="E64" s="16"/>
      <c r="F64" s="16"/>
      <c r="G64" s="16"/>
      <c r="H64" s="16"/>
      <c r="I64" s="71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6"/>
      <c r="C65" s="16"/>
      <c r="D65" s="16"/>
      <c r="E65" s="16"/>
      <c r="F65" s="16"/>
      <c r="G65" s="16"/>
      <c r="H65" s="16"/>
      <c r="I65" s="71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6"/>
      <c r="C66" s="16"/>
      <c r="D66" s="16"/>
      <c r="E66" s="16"/>
      <c r="F66" s="16"/>
      <c r="G66" s="16"/>
      <c r="H66" s="16"/>
      <c r="I66" s="71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6"/>
      <c r="C67" s="16"/>
      <c r="D67" s="16"/>
      <c r="E67" s="16"/>
      <c r="F67" s="16"/>
      <c r="G67" s="16"/>
      <c r="H67" s="16"/>
      <c r="I67" s="71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6"/>
      <c r="C68" s="16"/>
      <c r="D68" s="16"/>
      <c r="E68" s="16"/>
      <c r="F68" s="16"/>
      <c r="G68" s="16"/>
      <c r="H68" s="16"/>
      <c r="I68" s="71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6"/>
      <c r="C69" s="16"/>
      <c r="D69" s="16"/>
      <c r="E69" s="16"/>
      <c r="F69" s="16"/>
      <c r="G69" s="16"/>
      <c r="H69" s="16"/>
      <c r="I69" s="71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6"/>
      <c r="C70" s="16"/>
      <c r="D70" s="16"/>
      <c r="E70" s="16"/>
      <c r="F70" s="16"/>
      <c r="G70" s="16"/>
      <c r="H70" s="16"/>
      <c r="I70" s="71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6"/>
      <c r="C71" s="16"/>
      <c r="D71" s="16"/>
      <c r="E71" s="16"/>
      <c r="F71" s="16"/>
      <c r="G71" s="16"/>
      <c r="H71" s="16"/>
      <c r="I71" s="71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6"/>
      <c r="C72" s="16"/>
      <c r="D72" s="16"/>
      <c r="E72" s="16"/>
      <c r="F72" s="16"/>
      <c r="G72" s="16"/>
      <c r="H72" s="16"/>
      <c r="I72" s="71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6"/>
      <c r="C73" s="16"/>
      <c r="D73" s="16"/>
      <c r="E73" s="16"/>
      <c r="F73" s="16"/>
      <c r="G73" s="16"/>
      <c r="H73" s="16"/>
      <c r="I73" s="71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6"/>
      <c r="C74" s="16"/>
      <c r="D74" s="16"/>
      <c r="E74" s="16"/>
      <c r="F74" s="16"/>
      <c r="G74" s="16"/>
      <c r="H74" s="16"/>
      <c r="I74" s="71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6"/>
      <c r="C75" s="16"/>
      <c r="D75" s="16"/>
      <c r="E75" s="16"/>
      <c r="F75" s="16"/>
      <c r="G75" s="16"/>
      <c r="H75" s="16"/>
      <c r="I75" s="71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6"/>
      <c r="C76" s="16"/>
      <c r="D76" s="16"/>
      <c r="E76" s="16"/>
      <c r="F76" s="16"/>
      <c r="G76" s="16"/>
      <c r="H76" s="16"/>
      <c r="I76" s="71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6"/>
      <c r="C77" s="16"/>
      <c r="D77" s="16"/>
      <c r="E77" s="16"/>
      <c r="F77" s="16"/>
      <c r="G77" s="16"/>
      <c r="H77" s="16"/>
      <c r="I77" s="71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6"/>
      <c r="C78" s="16"/>
      <c r="D78" s="16"/>
      <c r="E78" s="16"/>
      <c r="F78" s="16"/>
      <c r="G78" s="16"/>
      <c r="H78" s="16"/>
      <c r="I78" s="71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6"/>
      <c r="C79" s="16"/>
      <c r="D79" s="16"/>
      <c r="E79" s="16"/>
      <c r="F79" s="16"/>
      <c r="G79" s="16"/>
      <c r="H79" s="16"/>
      <c r="I79" s="71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6"/>
      <c r="C80" s="16"/>
      <c r="D80" s="16"/>
      <c r="E80" s="16"/>
      <c r="F80" s="16"/>
      <c r="G80" s="16"/>
      <c r="H80" s="16"/>
      <c r="I80" s="71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6"/>
      <c r="C81" s="16"/>
      <c r="D81" s="16"/>
      <c r="E81" s="16"/>
      <c r="F81" s="16"/>
      <c r="G81" s="16"/>
      <c r="H81" s="16"/>
      <c r="I81" s="71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6"/>
      <c r="C82" s="16"/>
      <c r="D82" s="16"/>
      <c r="E82" s="16"/>
      <c r="F82" s="16"/>
      <c r="G82" s="16"/>
      <c r="H82" s="16"/>
      <c r="I82" s="71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6"/>
      <c r="C83" s="16"/>
      <c r="D83" s="16"/>
      <c r="E83" s="16"/>
      <c r="F83" s="16"/>
      <c r="G83" s="16"/>
      <c r="H83" s="16"/>
      <c r="I83" s="71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6"/>
      <c r="C84" s="16"/>
      <c r="D84" s="16"/>
      <c r="E84" s="16"/>
      <c r="F84" s="16"/>
      <c r="G84" s="16"/>
      <c r="H84" s="16"/>
      <c r="I84" s="71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6"/>
      <c r="C85" s="16"/>
      <c r="D85" s="16"/>
      <c r="E85" s="16"/>
      <c r="F85" s="16"/>
      <c r="G85" s="16"/>
      <c r="H85" s="16"/>
      <c r="I85" s="71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6"/>
      <c r="C86" s="16"/>
      <c r="D86" s="16"/>
      <c r="E86" s="16"/>
      <c r="F86" s="16"/>
      <c r="G86" s="16"/>
      <c r="H86" s="16"/>
      <c r="I86" s="71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6"/>
      <c r="C87" s="16"/>
      <c r="D87" s="16"/>
      <c r="E87" s="16"/>
      <c r="F87" s="16"/>
      <c r="G87" s="16"/>
      <c r="H87" s="16"/>
      <c r="I87" s="71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6"/>
      <c r="C88" s="16"/>
      <c r="D88" s="16"/>
      <c r="E88" s="16"/>
      <c r="F88" s="16"/>
      <c r="G88" s="16"/>
      <c r="H88" s="16"/>
      <c r="I88" s="71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6"/>
      <c r="C89" s="16"/>
      <c r="D89" s="16"/>
      <c r="E89" s="16"/>
      <c r="F89" s="16"/>
      <c r="G89" s="16"/>
      <c r="H89" s="16"/>
      <c r="I89" s="71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6"/>
      <c r="C90" s="16"/>
      <c r="D90" s="16"/>
      <c r="E90" s="16"/>
      <c r="F90" s="16"/>
      <c r="G90" s="16"/>
      <c r="H90" s="16"/>
      <c r="I90" s="71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6"/>
      <c r="C91" s="16"/>
      <c r="D91" s="16"/>
      <c r="E91" s="16"/>
      <c r="F91" s="16"/>
      <c r="G91" s="16"/>
      <c r="H91" s="16"/>
      <c r="I91" s="71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6"/>
      <c r="C92" s="16"/>
      <c r="D92" s="16"/>
      <c r="E92" s="16"/>
      <c r="F92" s="16"/>
      <c r="G92" s="16"/>
      <c r="H92" s="16"/>
      <c r="I92" s="71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6"/>
      <c r="C93" s="16"/>
      <c r="D93" s="16"/>
      <c r="E93" s="16"/>
      <c r="F93" s="16"/>
      <c r="G93" s="16"/>
      <c r="H93" s="16"/>
      <c r="I93" s="71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6"/>
      <c r="C94" s="16"/>
      <c r="D94" s="16"/>
      <c r="E94" s="16"/>
      <c r="F94" s="16"/>
      <c r="G94" s="16"/>
      <c r="H94" s="16"/>
      <c r="I94" s="71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6"/>
      <c r="C95" s="16"/>
      <c r="D95" s="16"/>
      <c r="E95" s="16"/>
      <c r="F95" s="16"/>
      <c r="G95" s="16"/>
      <c r="H95" s="16"/>
      <c r="I95" s="71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6"/>
      <c r="C96" s="16"/>
      <c r="D96" s="16"/>
      <c r="E96" s="16"/>
      <c r="F96" s="16"/>
      <c r="G96" s="16"/>
      <c r="H96" s="16"/>
      <c r="I96" s="71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6"/>
      <c r="C97" s="16"/>
      <c r="D97" s="16"/>
      <c r="E97" s="16"/>
      <c r="F97" s="16"/>
      <c r="G97" s="16"/>
      <c r="H97" s="16"/>
      <c r="I97" s="71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6"/>
      <c r="C98" s="16"/>
      <c r="D98" s="16"/>
      <c r="E98" s="16"/>
      <c r="F98" s="16"/>
      <c r="G98" s="16"/>
      <c r="H98" s="16"/>
      <c r="I98" s="71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6"/>
      <c r="C99" s="16"/>
      <c r="D99" s="16"/>
      <c r="E99" s="16"/>
      <c r="F99" s="16"/>
      <c r="G99" s="16"/>
      <c r="H99" s="16"/>
      <c r="I99" s="71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6"/>
      <c r="C100" s="16"/>
      <c r="D100" s="16"/>
      <c r="E100" s="16"/>
      <c r="F100" s="16"/>
      <c r="G100" s="16"/>
      <c r="H100" s="16"/>
      <c r="I100" s="71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71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71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71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71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71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71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71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71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71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71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71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71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71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71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71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71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71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71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71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71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71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71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71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71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71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71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71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71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71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71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71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71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71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71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71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71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71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71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71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71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71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71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71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71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71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71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71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71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71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71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71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71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71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71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71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71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71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71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71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71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71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71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71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71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71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71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71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71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71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71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71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71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71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71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71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71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71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71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71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71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71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71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71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71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71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71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71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71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71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71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71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71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71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71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71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71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71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71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71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71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71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71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71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71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71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71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71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71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71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71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71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71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71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71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71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71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71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71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71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71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71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71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71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71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71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71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71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71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71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71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71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71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71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71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71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71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71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71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71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71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71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71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71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71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71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71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71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71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71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71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71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71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71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71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71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71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71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71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71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71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71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71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71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71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71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71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71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71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71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71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71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71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71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71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71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71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71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71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71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71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71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71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71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71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71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71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71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71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71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71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71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71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71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71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71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71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71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71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71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71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71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71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71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71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71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71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71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71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71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71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71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71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71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71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71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71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71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71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71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71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71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71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71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71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71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71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71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71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71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71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71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71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71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71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71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71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71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71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71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71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71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71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71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71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71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71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71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71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71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71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71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71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71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71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71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71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71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71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71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71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71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71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71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71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71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71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71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71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71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71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71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71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71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71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71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71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71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71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71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71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71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71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71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71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71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71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71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71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71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71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71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71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71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71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71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71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71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71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71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71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71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71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71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71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71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71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71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71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71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71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71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71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71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71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71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71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71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71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71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71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71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71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71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71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71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71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71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71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71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71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71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71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71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71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71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71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71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71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71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71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71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71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71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71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71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71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71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71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71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71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71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71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71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71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71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71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71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71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71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71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71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71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71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71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71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71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71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71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71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71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71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71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71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71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71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71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71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71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71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71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71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71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71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71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71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71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71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71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71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71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71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71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71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71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71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71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71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71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71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71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71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71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71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71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71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71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71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71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71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71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71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71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71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71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71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71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71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71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71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71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71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71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71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71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71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71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71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71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71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71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71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71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71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71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71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71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71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71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71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71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71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71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71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71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71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71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71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71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71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71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71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71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71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71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71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71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71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71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71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71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71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71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71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71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71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71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71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71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71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71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71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71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71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71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71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71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71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71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71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71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71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71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71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71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71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71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71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71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71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71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71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71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71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71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71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71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71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71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71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71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71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71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71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71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71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71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71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71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71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71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71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71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71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71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71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71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71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71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71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71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71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71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71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71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71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71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71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71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71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71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71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71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71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71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71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71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71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71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71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71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71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71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71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71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71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71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71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71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71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71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71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71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71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71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71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71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71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71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71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71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71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71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71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71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71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71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71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71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71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71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71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71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71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71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71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71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71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71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71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71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71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71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71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71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71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71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71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71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71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71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71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71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71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71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71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71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71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71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71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71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71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71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71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71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71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71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71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71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71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71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71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71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71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71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71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71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71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71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71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71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71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71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71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71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71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71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71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71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71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71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71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71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71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71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71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71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71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71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71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71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71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71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71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71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71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71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71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71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71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71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71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71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71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71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71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71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71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71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71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71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71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71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71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71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71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71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71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71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71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71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71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71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71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71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71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71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71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71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71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71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71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71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71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71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71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71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71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71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71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71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71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71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71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71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71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71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71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71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71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71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71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71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71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71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71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71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71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71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71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71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71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71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71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71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71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71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71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71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71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71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71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71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71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71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71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71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71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71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71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71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71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71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71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71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71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71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71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71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71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71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71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71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71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71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71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71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71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71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71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71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71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71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71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71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71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71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71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71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71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71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71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71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71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71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71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71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71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71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71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71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71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71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71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71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71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71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71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71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71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71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71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71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71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71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71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71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71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71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71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71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71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71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71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71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71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71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71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71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71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71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71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71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71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71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71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71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71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71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71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71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71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71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71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71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71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71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71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71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71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71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71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71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71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71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71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71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71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71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71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71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71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71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71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71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71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71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71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71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71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71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71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71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71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71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71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71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71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71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71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71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71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71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71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71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71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71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71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71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71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71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71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71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71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71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71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71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71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71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71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71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71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71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71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71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71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71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71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71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71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71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71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71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71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71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71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71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71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71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71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71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71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71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71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71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71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71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1" t="s">
        <v>0</v>
      </c>
      <c r="B1" s="6">
        <f t="shared" ref="B1:D1" si="1">sum(B3:B100)</f>
        <v>27</v>
      </c>
      <c r="C1" s="6">
        <f t="shared" si="1"/>
        <v>12</v>
      </c>
      <c r="D1" s="6">
        <f t="shared" si="1"/>
        <v>19</v>
      </c>
      <c r="E1" s="1">
        <f t="shared" ref="E1:I1" si="2">SUM(E3:E26)</f>
        <v>405</v>
      </c>
      <c r="F1" s="1">
        <f t="shared" si="2"/>
        <v>122</v>
      </c>
      <c r="G1" s="1">
        <f t="shared" si="2"/>
        <v>243</v>
      </c>
      <c r="H1" s="7">
        <f t="shared" si="2"/>
        <v>1823250</v>
      </c>
      <c r="I1" s="7">
        <f t="shared" si="2"/>
        <v>17423000</v>
      </c>
      <c r="J1" s="9" t="s">
        <v>5</v>
      </c>
      <c r="K1" s="10"/>
      <c r="L1" s="9" t="s">
        <v>6</v>
      </c>
      <c r="M1" s="10"/>
      <c r="N1" s="13"/>
      <c r="O1" s="12"/>
      <c r="P1" s="10"/>
      <c r="Q1" s="14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7" t="s">
        <v>8</v>
      </c>
      <c r="B2" s="19" t="s">
        <v>9</v>
      </c>
      <c r="C2" s="20" t="s">
        <v>10</v>
      </c>
      <c r="D2" s="22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3" t="s">
        <v>24</v>
      </c>
      <c r="B3" s="33">
        <v>1.0</v>
      </c>
      <c r="C3" s="33"/>
      <c r="D3" s="33">
        <v>1.0</v>
      </c>
      <c r="E3" s="34">
        <v>4.0</v>
      </c>
      <c r="F3" s="35">
        <v>0.0</v>
      </c>
      <c r="G3" s="35">
        <v>0.0</v>
      </c>
      <c r="H3" s="37"/>
      <c r="I3" s="37"/>
      <c r="J3" s="38"/>
      <c r="K3" s="38"/>
      <c r="L3" s="38"/>
      <c r="M3" s="38"/>
      <c r="N3" s="38"/>
      <c r="O3" s="38"/>
      <c r="P3" s="38"/>
      <c r="Q3" s="44"/>
      <c r="R3" s="44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3" t="s">
        <v>26</v>
      </c>
      <c r="B4" s="33"/>
      <c r="C4" s="33"/>
      <c r="D4" s="33"/>
      <c r="E4" s="34">
        <v>52.0</v>
      </c>
      <c r="F4" s="34">
        <v>10.0</v>
      </c>
      <c r="G4" s="34">
        <v>26.0</v>
      </c>
      <c r="H4" s="37"/>
      <c r="I4" s="48">
        <v>7570000.0</v>
      </c>
      <c r="J4" s="38"/>
      <c r="K4" s="38"/>
      <c r="L4" s="38"/>
      <c r="M4" s="38"/>
      <c r="N4" s="38"/>
      <c r="O4" s="38"/>
      <c r="P4" s="38"/>
      <c r="Q4" s="44"/>
      <c r="R4" s="44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51" t="s">
        <v>28</v>
      </c>
      <c r="B5" s="33">
        <v>3.0</v>
      </c>
      <c r="C5" s="33">
        <v>2.0</v>
      </c>
      <c r="D5" s="33">
        <v>1.0</v>
      </c>
      <c r="E5" s="34">
        <v>13.0</v>
      </c>
      <c r="F5" s="34">
        <v>3.0</v>
      </c>
      <c r="G5" s="34">
        <v>3.0</v>
      </c>
      <c r="H5" s="48"/>
      <c r="I5" s="48"/>
      <c r="J5" s="38"/>
      <c r="K5" s="36">
        <v>1.0</v>
      </c>
      <c r="L5" s="38"/>
      <c r="M5" s="38"/>
      <c r="N5" s="38"/>
      <c r="O5" s="38"/>
      <c r="P5" s="38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51" t="s">
        <v>29</v>
      </c>
      <c r="B6" s="33">
        <v>2.0</v>
      </c>
      <c r="C6" s="33">
        <v>1.0</v>
      </c>
      <c r="D6" s="33">
        <v>1.0</v>
      </c>
      <c r="E6" s="34">
        <v>67.0</v>
      </c>
      <c r="F6" s="34">
        <v>5.0</v>
      </c>
      <c r="G6" s="34">
        <v>6.0</v>
      </c>
      <c r="H6" s="37">
        <v>11500.0</v>
      </c>
      <c r="I6" s="48"/>
      <c r="J6" s="38"/>
      <c r="K6" s="38"/>
      <c r="L6" s="38"/>
      <c r="M6" s="38"/>
      <c r="N6" s="38"/>
      <c r="O6" s="38"/>
      <c r="P6" s="38"/>
      <c r="Q6" s="44"/>
      <c r="R6" s="44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51" t="s">
        <v>31</v>
      </c>
      <c r="B7" s="33">
        <v>1.0</v>
      </c>
      <c r="C7" s="59"/>
      <c r="D7" s="33">
        <v>1.0</v>
      </c>
      <c r="E7" s="34">
        <v>26.0</v>
      </c>
      <c r="F7" s="34">
        <v>7.0</v>
      </c>
      <c r="G7" s="34">
        <v>9.0</v>
      </c>
      <c r="H7" s="48"/>
      <c r="I7" s="48"/>
      <c r="J7" s="36">
        <v>1.0</v>
      </c>
      <c r="K7" s="36">
        <v>1.0</v>
      </c>
      <c r="L7" s="38"/>
      <c r="M7" s="38"/>
      <c r="N7" s="38"/>
      <c r="O7" s="38"/>
      <c r="P7" s="38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3" t="s">
        <v>33</v>
      </c>
      <c r="B8" s="59"/>
      <c r="C8" s="59"/>
      <c r="D8" s="59"/>
      <c r="E8" s="34">
        <v>3.0</v>
      </c>
      <c r="F8" s="34">
        <v>0.0</v>
      </c>
      <c r="G8" s="34">
        <v>0.0</v>
      </c>
      <c r="H8" s="61"/>
      <c r="I8" s="61"/>
      <c r="J8" s="36">
        <v>2.0</v>
      </c>
      <c r="K8" s="38"/>
      <c r="L8" s="38"/>
      <c r="M8" s="38"/>
      <c r="N8" s="38"/>
      <c r="O8" s="38"/>
      <c r="P8" s="38"/>
      <c r="Q8" s="44"/>
      <c r="R8" s="44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51" t="s">
        <v>34</v>
      </c>
      <c r="B9" s="33">
        <v>5.0</v>
      </c>
      <c r="C9" s="33">
        <v>3.0</v>
      </c>
      <c r="D9" s="33">
        <v>4.0</v>
      </c>
      <c r="E9" s="34">
        <v>13.0</v>
      </c>
      <c r="F9" s="34">
        <v>2.0</v>
      </c>
      <c r="G9" s="34">
        <v>9.0</v>
      </c>
      <c r="H9" s="48"/>
      <c r="I9" s="37"/>
      <c r="J9" s="36">
        <v>3.0</v>
      </c>
      <c r="K9" s="36">
        <v>1.0</v>
      </c>
      <c r="L9" s="38"/>
      <c r="M9" s="38"/>
      <c r="N9" s="36"/>
      <c r="O9" s="38"/>
      <c r="P9" s="38"/>
      <c r="Q9" s="56"/>
      <c r="R9" s="44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51" t="s">
        <v>32</v>
      </c>
      <c r="B10" s="33">
        <v>1.0</v>
      </c>
      <c r="C10" s="33"/>
      <c r="D10" s="33">
        <v>1.0</v>
      </c>
      <c r="E10" s="34">
        <v>36.0</v>
      </c>
      <c r="F10" s="34">
        <v>16.0</v>
      </c>
      <c r="G10" s="34">
        <v>40.0</v>
      </c>
      <c r="H10" s="48">
        <v>11750.0</v>
      </c>
      <c r="I10" s="37">
        <v>4203000.0</v>
      </c>
      <c r="J10" s="38"/>
      <c r="K10" s="38"/>
      <c r="L10" s="38"/>
      <c r="M10" s="38"/>
      <c r="N10" s="38"/>
      <c r="O10" s="38"/>
      <c r="P10" s="38"/>
      <c r="Q10" s="44"/>
      <c r="R10" s="44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51" t="s">
        <v>36</v>
      </c>
      <c r="B11" s="33">
        <v>2.0</v>
      </c>
      <c r="C11" s="33">
        <v>1.0</v>
      </c>
      <c r="D11" s="33">
        <v>1.0</v>
      </c>
      <c r="E11" s="34">
        <v>20.0</v>
      </c>
      <c r="F11" s="34">
        <v>10.0</v>
      </c>
      <c r="G11" s="34">
        <v>33.0</v>
      </c>
      <c r="H11" s="61"/>
      <c r="I11" s="61"/>
      <c r="J11" s="38"/>
      <c r="K11" s="38"/>
      <c r="L11" s="38"/>
      <c r="M11" s="38"/>
      <c r="N11" s="36"/>
      <c r="O11" s="38"/>
      <c r="P11" s="38"/>
      <c r="Q11" s="56"/>
      <c r="R11" s="44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3" t="s">
        <v>37</v>
      </c>
      <c r="B12" s="33">
        <v>1.0</v>
      </c>
      <c r="C12" s="59"/>
      <c r="D12" s="33">
        <v>1.0</v>
      </c>
      <c r="E12" s="34">
        <v>29.0</v>
      </c>
      <c r="F12" s="34">
        <v>23.0</v>
      </c>
      <c r="G12" s="34">
        <v>31.0</v>
      </c>
      <c r="H12" s="48"/>
      <c r="I12" s="48"/>
      <c r="J12" s="36">
        <v>1.0</v>
      </c>
      <c r="K12" s="36">
        <v>1.0</v>
      </c>
      <c r="L12" s="38"/>
      <c r="M12" s="38"/>
      <c r="N12" s="38"/>
      <c r="O12" s="38"/>
      <c r="P12" s="38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51" t="s">
        <v>38</v>
      </c>
      <c r="B13" s="33">
        <v>3.0</v>
      </c>
      <c r="C13" s="33">
        <v>2.0</v>
      </c>
      <c r="D13" s="33">
        <v>2.0</v>
      </c>
      <c r="E13" s="34">
        <v>41.0</v>
      </c>
      <c r="F13" s="34">
        <v>13.0</v>
      </c>
      <c r="G13" s="34">
        <v>39.0</v>
      </c>
      <c r="H13" s="48"/>
      <c r="I13" s="37">
        <v>5650000.0</v>
      </c>
      <c r="J13" s="38"/>
      <c r="K13" s="38"/>
      <c r="L13" s="38"/>
      <c r="M13" s="38"/>
      <c r="N13" s="38"/>
      <c r="O13" s="38"/>
      <c r="P13" s="38"/>
      <c r="Q13" s="44"/>
      <c r="R13" s="44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3" t="s">
        <v>39</v>
      </c>
      <c r="B14" s="33">
        <v>1.0</v>
      </c>
      <c r="C14" s="33"/>
      <c r="D14" s="33">
        <v>1.0</v>
      </c>
      <c r="E14" s="34">
        <v>26.0</v>
      </c>
      <c r="F14" s="34">
        <v>4.0</v>
      </c>
      <c r="G14" s="34">
        <v>6.0</v>
      </c>
      <c r="H14" s="48"/>
      <c r="I14" s="37"/>
      <c r="J14" s="38"/>
      <c r="K14" s="38"/>
      <c r="L14" s="38"/>
      <c r="M14" s="38"/>
      <c r="N14" s="38"/>
      <c r="O14" s="38"/>
      <c r="P14" s="38"/>
      <c r="Q14" s="44"/>
      <c r="R14" s="44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51" t="s">
        <v>40</v>
      </c>
      <c r="B15" s="59"/>
      <c r="C15" s="59"/>
      <c r="D15" s="59"/>
      <c r="E15" s="34">
        <v>9.0</v>
      </c>
      <c r="F15" s="34">
        <v>6.0</v>
      </c>
      <c r="G15" s="34">
        <v>6.0</v>
      </c>
      <c r="H15" s="37">
        <v>1800000.0</v>
      </c>
      <c r="I15" s="61"/>
      <c r="J15" s="36">
        <v>4.0</v>
      </c>
      <c r="K15" s="38"/>
      <c r="L15" s="38"/>
      <c r="M15" s="38"/>
      <c r="N15" s="36"/>
      <c r="O15" s="38"/>
      <c r="P15" s="38"/>
      <c r="Q15" s="56"/>
      <c r="R15" s="44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3" t="s">
        <v>41</v>
      </c>
      <c r="B16" s="59"/>
      <c r="C16" s="59"/>
      <c r="D16" s="59"/>
      <c r="E16" s="34">
        <v>11.0</v>
      </c>
      <c r="F16" s="34">
        <v>0.0</v>
      </c>
      <c r="G16" s="34">
        <v>0.0</v>
      </c>
      <c r="H16" s="61"/>
      <c r="I16" s="61"/>
      <c r="J16" s="38"/>
      <c r="K16" s="38"/>
      <c r="L16" s="38"/>
      <c r="M16" s="38"/>
      <c r="N16" s="36"/>
      <c r="O16" s="38"/>
      <c r="P16" s="38"/>
      <c r="Q16" s="44"/>
      <c r="R16" s="44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3" t="s">
        <v>42</v>
      </c>
      <c r="B17" s="33"/>
      <c r="C17" s="33"/>
      <c r="D17" s="33"/>
      <c r="E17" s="34">
        <v>27.0</v>
      </c>
      <c r="F17" s="34">
        <v>5.0</v>
      </c>
      <c r="G17" s="34">
        <v>9.0</v>
      </c>
      <c r="H17" s="37"/>
      <c r="I17" s="37"/>
      <c r="J17" s="36">
        <v>1.0</v>
      </c>
      <c r="K17" s="36">
        <v>1.0</v>
      </c>
      <c r="L17" s="38"/>
      <c r="M17" s="38"/>
      <c r="N17" s="38"/>
      <c r="O17" s="38"/>
      <c r="P17" s="38"/>
      <c r="Q17" s="56"/>
      <c r="R17" s="44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hidden="1" customHeight="1">
      <c r="A18" s="33" t="s">
        <v>44</v>
      </c>
      <c r="B18" s="59"/>
      <c r="C18" s="59"/>
      <c r="D18" s="59"/>
      <c r="E18" s="64"/>
      <c r="F18" s="34">
        <v>0.0</v>
      </c>
      <c r="G18" s="34">
        <v>0.0</v>
      </c>
      <c r="H18" s="61"/>
      <c r="I18" s="61"/>
      <c r="J18" s="38"/>
      <c r="K18" s="38"/>
      <c r="L18" s="38"/>
      <c r="M18" s="38"/>
      <c r="N18" s="38"/>
      <c r="O18" s="38"/>
      <c r="P18" s="38"/>
      <c r="Q18" s="44"/>
      <c r="R18" s="44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3" t="s">
        <v>45</v>
      </c>
      <c r="B19" s="59"/>
      <c r="C19" s="59"/>
      <c r="D19" s="59"/>
      <c r="E19" s="34">
        <v>0.0</v>
      </c>
      <c r="F19" s="35">
        <v>0.0</v>
      </c>
      <c r="G19" s="35">
        <v>0.0</v>
      </c>
      <c r="H19" s="61"/>
      <c r="I19" s="61"/>
      <c r="J19" s="38"/>
      <c r="K19" s="38"/>
      <c r="L19" s="38"/>
      <c r="M19" s="38"/>
      <c r="N19" s="38"/>
      <c r="O19" s="38"/>
      <c r="P19" s="38"/>
      <c r="Q19" s="44"/>
      <c r="R19" s="44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51" t="s">
        <v>46</v>
      </c>
      <c r="B20" s="33">
        <v>1.0</v>
      </c>
      <c r="C20" s="59"/>
      <c r="D20" s="33">
        <v>1.0</v>
      </c>
      <c r="E20" s="34">
        <v>25.0</v>
      </c>
      <c r="F20" s="34">
        <v>7.0</v>
      </c>
      <c r="G20" s="34">
        <v>15.0</v>
      </c>
      <c r="H20" s="61"/>
      <c r="I20" s="61"/>
      <c r="J20" s="38"/>
      <c r="K20" s="38"/>
      <c r="L20" s="38"/>
      <c r="M20" s="38"/>
      <c r="N20" s="38"/>
      <c r="O20" s="38"/>
      <c r="P20" s="38"/>
      <c r="Q20" s="44"/>
      <c r="R20" s="44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51" t="s">
        <v>47</v>
      </c>
      <c r="B21" s="33">
        <v>2.0</v>
      </c>
      <c r="C21" s="33">
        <v>1.0</v>
      </c>
      <c r="D21" s="33">
        <v>2.0</v>
      </c>
      <c r="E21" s="34">
        <v>2.0</v>
      </c>
      <c r="F21" s="35">
        <v>5.0</v>
      </c>
      <c r="G21" s="35">
        <v>5.0</v>
      </c>
      <c r="H21" s="61"/>
      <c r="I21" s="61"/>
      <c r="J21" s="38"/>
      <c r="K21" s="38"/>
      <c r="L21" s="38"/>
      <c r="M21" s="38"/>
      <c r="N21" s="38"/>
      <c r="O21" s="38"/>
      <c r="P21" s="38"/>
      <c r="Q21" s="44"/>
      <c r="R21" s="44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3" t="s">
        <v>43</v>
      </c>
      <c r="B22" s="59"/>
      <c r="C22" s="59"/>
      <c r="D22" s="59"/>
      <c r="E22" s="34">
        <v>0.0</v>
      </c>
      <c r="F22" s="35">
        <v>3.0</v>
      </c>
      <c r="G22" s="35">
        <v>3.0</v>
      </c>
      <c r="H22" s="61"/>
      <c r="I22" s="61"/>
      <c r="J22" s="38"/>
      <c r="K22" s="38"/>
      <c r="L22" s="38"/>
      <c r="M22" s="38"/>
      <c r="N22" s="38"/>
      <c r="O22" s="38"/>
      <c r="P22" s="38"/>
      <c r="Q22" s="44"/>
      <c r="R22" s="44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3" t="s">
        <v>30</v>
      </c>
      <c r="B23" s="59"/>
      <c r="C23" s="59"/>
      <c r="D23" s="59"/>
      <c r="E23" s="34">
        <v>0.0</v>
      </c>
      <c r="F23" s="35">
        <v>0.0</v>
      </c>
      <c r="G23" s="35">
        <v>0.0</v>
      </c>
      <c r="H23" s="61"/>
      <c r="I23" s="61"/>
      <c r="J23" s="38"/>
      <c r="K23" s="38"/>
      <c r="L23" s="38"/>
      <c r="M23" s="38"/>
      <c r="N23" s="38"/>
      <c r="O23" s="38"/>
      <c r="P23" s="38"/>
      <c r="Q23" s="44"/>
      <c r="R23" s="44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51" t="s">
        <v>49</v>
      </c>
      <c r="B24" s="33">
        <v>2.0</v>
      </c>
      <c r="C24" s="59"/>
      <c r="D24" s="33">
        <v>2.0</v>
      </c>
      <c r="E24" s="34">
        <v>0.0</v>
      </c>
      <c r="F24" s="35">
        <v>0.0</v>
      </c>
      <c r="G24" s="35">
        <v>0.0</v>
      </c>
      <c r="H24" s="61"/>
      <c r="I24" s="61"/>
      <c r="J24" s="38"/>
      <c r="K24" s="38"/>
      <c r="L24" s="38"/>
      <c r="M24" s="38"/>
      <c r="N24" s="38"/>
      <c r="O24" s="38"/>
      <c r="P24" s="38"/>
      <c r="Q24" s="44"/>
      <c r="R24" s="44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45" t="s">
        <v>48</v>
      </c>
      <c r="B25" s="59"/>
      <c r="C25" s="59"/>
      <c r="D25" s="59"/>
      <c r="E25" s="34">
        <v>0.0</v>
      </c>
      <c r="F25" s="35">
        <v>2.0</v>
      </c>
      <c r="G25" s="35">
        <v>2.0</v>
      </c>
      <c r="H25" s="61"/>
      <c r="I25" s="61"/>
      <c r="J25" s="38"/>
      <c r="K25" s="38"/>
      <c r="L25" s="38"/>
      <c r="M25" s="38"/>
      <c r="N25" s="38"/>
      <c r="O25" s="38"/>
      <c r="P25" s="38"/>
      <c r="Q25" s="44"/>
      <c r="R25" s="44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51" t="s">
        <v>35</v>
      </c>
      <c r="B26" s="33">
        <v>2.0</v>
      </c>
      <c r="C26" s="33">
        <v>2.0</v>
      </c>
      <c r="D26" s="59"/>
      <c r="E26" s="34">
        <v>1.0</v>
      </c>
      <c r="F26" s="35">
        <v>1.0</v>
      </c>
      <c r="G26" s="35">
        <v>1.0</v>
      </c>
      <c r="H26" s="61"/>
      <c r="I26" s="61"/>
      <c r="J26" s="38"/>
      <c r="K26" s="38"/>
      <c r="L26" s="38"/>
      <c r="M26" s="38"/>
      <c r="N26" s="38"/>
      <c r="O26" s="38"/>
      <c r="P26" s="38"/>
      <c r="Q26" s="44"/>
      <c r="R26" s="44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399</v>
      </c>
      <c r="F1" s="1">
        <f t="shared" si="1"/>
        <v>125</v>
      </c>
      <c r="G1" s="1">
        <f t="shared" si="1"/>
        <v>219</v>
      </c>
      <c r="H1" s="7">
        <f t="shared" si="1"/>
        <v>14500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40" t="s">
        <v>25</v>
      </c>
      <c r="B3" s="43">
        <v>7.5</v>
      </c>
      <c r="C3" s="43">
        <v>1.0</v>
      </c>
      <c r="D3" s="43">
        <v>8.0</v>
      </c>
      <c r="E3" s="45">
        <v>20.0</v>
      </c>
      <c r="F3" s="46">
        <v>4.0</v>
      </c>
      <c r="G3" s="46">
        <v>4.0</v>
      </c>
      <c r="H3" s="47"/>
      <c r="I3" s="47"/>
      <c r="J3" s="38"/>
      <c r="K3" s="38"/>
      <c r="L3" s="38"/>
      <c r="M3" s="38"/>
      <c r="N3" s="38"/>
      <c r="O3" s="38"/>
      <c r="P3" s="38"/>
      <c r="Q3" s="44"/>
      <c r="R3" s="44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50" t="s">
        <v>27</v>
      </c>
      <c r="B4" s="43">
        <v>1.0</v>
      </c>
      <c r="C4" s="43">
        <v>1.0</v>
      </c>
      <c r="D4" s="43"/>
      <c r="E4" s="52">
        <v>0.0</v>
      </c>
      <c r="F4" s="54">
        <v>0.0</v>
      </c>
      <c r="G4" s="54">
        <v>0.0</v>
      </c>
      <c r="H4" s="55"/>
      <c r="I4" s="55"/>
      <c r="J4" s="38"/>
      <c r="K4" s="38"/>
      <c r="L4" s="38"/>
      <c r="M4" s="38"/>
      <c r="N4" s="38"/>
      <c r="O4" s="38"/>
      <c r="P4" s="38"/>
      <c r="Q4" s="44"/>
      <c r="R4" s="44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43" t="s">
        <v>30</v>
      </c>
      <c r="B5" s="58"/>
      <c r="C5" s="58"/>
      <c r="D5" s="58"/>
      <c r="E5" s="45">
        <v>0.0</v>
      </c>
      <c r="F5" s="46">
        <v>0.0</v>
      </c>
      <c r="G5" s="46">
        <v>0.0</v>
      </c>
      <c r="H5" s="47"/>
      <c r="I5" s="47"/>
      <c r="J5" s="38"/>
      <c r="K5" s="38"/>
      <c r="L5" s="38"/>
      <c r="M5" s="38"/>
      <c r="N5" s="38"/>
      <c r="O5" s="38"/>
      <c r="P5" s="38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40" t="s">
        <v>32</v>
      </c>
      <c r="B6" s="36">
        <v>5.0</v>
      </c>
      <c r="C6" s="36">
        <v>3.0</v>
      </c>
      <c r="D6" s="36">
        <v>3.0</v>
      </c>
      <c r="E6" s="45">
        <v>51.0</v>
      </c>
      <c r="F6" s="45">
        <v>14.0</v>
      </c>
      <c r="G6" s="45">
        <v>28.0</v>
      </c>
      <c r="H6" s="60"/>
      <c r="I6" s="47"/>
      <c r="J6" s="38"/>
      <c r="K6" s="38"/>
      <c r="L6" s="38"/>
      <c r="M6" s="38"/>
      <c r="N6" s="38"/>
      <c r="O6" s="38"/>
      <c r="P6" s="38"/>
      <c r="Q6" s="44"/>
      <c r="R6" s="44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43" t="s">
        <v>35</v>
      </c>
      <c r="B7" s="43">
        <v>2.0</v>
      </c>
      <c r="C7" s="43">
        <v>2.0</v>
      </c>
      <c r="D7" s="58"/>
      <c r="E7" s="45">
        <v>18.0</v>
      </c>
      <c r="F7" s="46">
        <v>7.0</v>
      </c>
      <c r="G7" s="46">
        <v>14.0</v>
      </c>
      <c r="H7" s="47"/>
      <c r="I7" s="47"/>
      <c r="J7" s="38"/>
      <c r="K7" s="38"/>
      <c r="L7" s="38"/>
      <c r="M7" s="38"/>
      <c r="N7" s="38"/>
      <c r="O7" s="38"/>
      <c r="P7" s="38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40" t="s">
        <v>31</v>
      </c>
      <c r="B8" s="36">
        <v>3.0</v>
      </c>
      <c r="C8" s="36">
        <v>1.0</v>
      </c>
      <c r="D8" s="36">
        <v>2.0</v>
      </c>
      <c r="E8" s="45">
        <v>19.0</v>
      </c>
      <c r="F8" s="45">
        <v>4.0</v>
      </c>
      <c r="G8" s="45">
        <v>6.0</v>
      </c>
      <c r="H8" s="60"/>
      <c r="I8" s="60"/>
      <c r="J8" s="38"/>
      <c r="K8" s="38"/>
      <c r="L8" s="38"/>
      <c r="M8" s="38"/>
      <c r="N8" s="38"/>
      <c r="O8" s="38"/>
      <c r="P8" s="38"/>
      <c r="Q8" s="44"/>
      <c r="R8" s="44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40" t="s">
        <v>36</v>
      </c>
      <c r="B9" s="36">
        <v>1.0</v>
      </c>
      <c r="C9" s="38"/>
      <c r="D9" s="36">
        <v>1.0</v>
      </c>
      <c r="E9" s="45">
        <v>12.0</v>
      </c>
      <c r="F9" s="45">
        <v>15.0</v>
      </c>
      <c r="G9" s="45">
        <v>27.0</v>
      </c>
      <c r="H9" s="47"/>
      <c r="I9" s="47"/>
      <c r="J9" s="38"/>
      <c r="K9" s="38"/>
      <c r="L9" s="38"/>
      <c r="M9" s="38"/>
      <c r="N9" s="36"/>
      <c r="O9" s="38"/>
      <c r="P9" s="38"/>
      <c r="Q9" s="56"/>
      <c r="R9" s="44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6" t="s">
        <v>24</v>
      </c>
      <c r="B10" s="36">
        <v>1.0</v>
      </c>
      <c r="C10" s="36"/>
      <c r="D10" s="36">
        <v>1.0</v>
      </c>
      <c r="E10" s="46"/>
      <c r="F10" s="46">
        <v>0.0</v>
      </c>
      <c r="G10" s="46">
        <v>0.0</v>
      </c>
      <c r="H10" s="65"/>
      <c r="I10" s="65"/>
      <c r="J10" s="38"/>
      <c r="K10" s="38"/>
      <c r="L10" s="38"/>
      <c r="M10" s="38"/>
      <c r="N10" s="38"/>
      <c r="O10" s="38"/>
      <c r="P10" s="38"/>
      <c r="Q10" s="44"/>
      <c r="R10" s="44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40" t="s">
        <v>26</v>
      </c>
      <c r="B11" s="36">
        <v>1.0</v>
      </c>
      <c r="C11" s="36"/>
      <c r="D11" s="36">
        <v>2.0</v>
      </c>
      <c r="E11" s="45">
        <v>22.0</v>
      </c>
      <c r="F11" s="45">
        <v>6.0</v>
      </c>
      <c r="G11" s="45">
        <v>12.0</v>
      </c>
      <c r="H11" s="65"/>
      <c r="I11" s="60"/>
      <c r="J11" s="38"/>
      <c r="K11" s="38"/>
      <c r="L11" s="38"/>
      <c r="M11" s="38"/>
      <c r="N11" s="36"/>
      <c r="O11" s="38"/>
      <c r="P11" s="38"/>
      <c r="Q11" s="56"/>
      <c r="R11" s="44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6" t="s">
        <v>42</v>
      </c>
      <c r="B12" s="36"/>
      <c r="C12" s="36"/>
      <c r="D12" s="36"/>
      <c r="E12" s="45">
        <v>14.0</v>
      </c>
      <c r="F12" s="45">
        <v>2.0</v>
      </c>
      <c r="G12" s="45">
        <v>2.0</v>
      </c>
      <c r="H12" s="65"/>
      <c r="I12" s="65"/>
      <c r="J12" s="38"/>
      <c r="K12" s="38"/>
      <c r="L12" s="38"/>
      <c r="M12" s="38"/>
      <c r="N12" s="38"/>
      <c r="O12" s="38"/>
      <c r="P12" s="38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40" t="s">
        <v>43</v>
      </c>
      <c r="B13" s="43">
        <v>1.0</v>
      </c>
      <c r="C13" s="58"/>
      <c r="D13" s="43">
        <v>1.0</v>
      </c>
      <c r="E13" s="45">
        <v>4.0</v>
      </c>
      <c r="F13" s="46">
        <v>3.0</v>
      </c>
      <c r="G13" s="46">
        <v>6.0</v>
      </c>
      <c r="H13" s="47"/>
      <c r="I13" s="47"/>
      <c r="J13" s="38"/>
      <c r="K13" s="38"/>
      <c r="L13" s="38"/>
      <c r="M13" s="38"/>
      <c r="N13" s="38"/>
      <c r="O13" s="38"/>
      <c r="P13" s="38"/>
      <c r="Q13" s="44"/>
      <c r="R13" s="44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6" t="s">
        <v>40</v>
      </c>
      <c r="B14" s="38"/>
      <c r="C14" s="38"/>
      <c r="D14" s="38"/>
      <c r="E14" s="45">
        <v>16.0</v>
      </c>
      <c r="F14" s="45">
        <v>9.0</v>
      </c>
      <c r="G14" s="45">
        <v>23.0</v>
      </c>
      <c r="H14" s="47"/>
      <c r="I14" s="47"/>
      <c r="J14" s="38"/>
      <c r="K14" s="38"/>
      <c r="L14" s="38"/>
      <c r="M14" s="38"/>
      <c r="N14" s="38"/>
      <c r="O14" s="38"/>
      <c r="P14" s="38"/>
      <c r="Q14" s="44"/>
      <c r="R14" s="44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6" t="s">
        <v>39</v>
      </c>
      <c r="B15" s="36"/>
      <c r="C15" s="36"/>
      <c r="D15" s="36"/>
      <c r="E15" s="45">
        <v>11.0</v>
      </c>
      <c r="F15" s="45">
        <v>5.0</v>
      </c>
      <c r="G15" s="45">
        <v>7.0</v>
      </c>
      <c r="H15" s="60"/>
      <c r="I15" s="65"/>
      <c r="J15" s="38"/>
      <c r="K15" s="38"/>
      <c r="L15" s="38"/>
      <c r="M15" s="38"/>
      <c r="N15" s="36"/>
      <c r="O15" s="38"/>
      <c r="P15" s="38"/>
      <c r="Q15" s="56"/>
      <c r="R15" s="44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40" t="s">
        <v>37</v>
      </c>
      <c r="B16" s="36"/>
      <c r="C16" s="38"/>
      <c r="D16" s="38"/>
      <c r="E16" s="45">
        <v>30.0</v>
      </c>
      <c r="F16" s="45">
        <v>14.0</v>
      </c>
      <c r="G16" s="45">
        <v>14.0</v>
      </c>
      <c r="H16" s="60"/>
      <c r="I16" s="60"/>
      <c r="J16" s="38"/>
      <c r="K16" s="38"/>
      <c r="L16" s="38"/>
      <c r="M16" s="38"/>
      <c r="N16" s="36"/>
      <c r="O16" s="38"/>
      <c r="P16" s="38"/>
      <c r="Q16" s="44"/>
      <c r="R16" s="44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43" t="s">
        <v>48</v>
      </c>
      <c r="B17" s="58"/>
      <c r="C17" s="58"/>
      <c r="D17" s="58"/>
      <c r="E17" s="45">
        <v>0.0</v>
      </c>
      <c r="F17" s="46">
        <v>0.0</v>
      </c>
      <c r="G17" s="46">
        <v>0.0</v>
      </c>
      <c r="H17" s="47"/>
      <c r="I17" s="47"/>
      <c r="J17" s="38"/>
      <c r="K17" s="38"/>
      <c r="L17" s="38"/>
      <c r="M17" s="38"/>
      <c r="N17" s="38"/>
      <c r="O17" s="38"/>
      <c r="P17" s="38"/>
      <c r="Q17" s="56"/>
      <c r="R17" s="44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6" t="s">
        <v>33</v>
      </c>
      <c r="B18" s="36">
        <v>2.0</v>
      </c>
      <c r="C18" s="38"/>
      <c r="D18" s="36">
        <v>2.0</v>
      </c>
      <c r="E18" s="45">
        <v>5.0</v>
      </c>
      <c r="F18" s="46">
        <v>0.0</v>
      </c>
      <c r="G18" s="46">
        <v>0.0</v>
      </c>
      <c r="H18" s="47"/>
      <c r="I18" s="47"/>
      <c r="J18" s="38"/>
      <c r="K18" s="38"/>
      <c r="L18" s="38"/>
      <c r="M18" s="38"/>
      <c r="N18" s="38"/>
      <c r="O18" s="38"/>
      <c r="P18" s="38"/>
      <c r="Q18" s="44"/>
      <c r="R18" s="44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6" t="s">
        <v>41</v>
      </c>
      <c r="B19" s="38"/>
      <c r="C19" s="38"/>
      <c r="D19" s="38"/>
      <c r="E19" s="45">
        <v>30.0</v>
      </c>
      <c r="F19" s="45">
        <v>5.0</v>
      </c>
      <c r="G19" s="45">
        <v>12.0</v>
      </c>
      <c r="H19" s="47"/>
      <c r="I19" s="47"/>
      <c r="J19" s="38"/>
      <c r="K19" s="38"/>
      <c r="L19" s="38"/>
      <c r="M19" s="38"/>
      <c r="N19" s="38"/>
      <c r="O19" s="38"/>
      <c r="P19" s="38"/>
      <c r="Q19" s="44"/>
      <c r="R19" s="44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40" t="s">
        <v>28</v>
      </c>
      <c r="B20" s="36">
        <v>3.0</v>
      </c>
      <c r="C20" s="36">
        <v>1.0</v>
      </c>
      <c r="D20" s="36">
        <v>2.0</v>
      </c>
      <c r="E20" s="45">
        <v>30.0</v>
      </c>
      <c r="F20" s="45">
        <v>8.0</v>
      </c>
      <c r="G20" s="45">
        <v>10.0</v>
      </c>
      <c r="H20" s="60"/>
      <c r="I20" s="60"/>
      <c r="J20" s="38"/>
      <c r="K20" s="38"/>
      <c r="L20" s="38"/>
      <c r="M20" s="38"/>
      <c r="N20" s="38"/>
      <c r="O20" s="38"/>
      <c r="P20" s="38"/>
      <c r="Q20" s="44"/>
      <c r="R20" s="44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40" t="s">
        <v>49</v>
      </c>
      <c r="B21" s="43">
        <v>1.0</v>
      </c>
      <c r="C21" s="58"/>
      <c r="D21" s="43">
        <v>1.0</v>
      </c>
      <c r="E21" s="45">
        <v>27.0</v>
      </c>
      <c r="F21" s="46">
        <v>13.0</v>
      </c>
      <c r="G21" s="46">
        <v>27.0</v>
      </c>
      <c r="H21" s="47"/>
      <c r="I21" s="47"/>
      <c r="J21" s="38"/>
      <c r="K21" s="38"/>
      <c r="L21" s="38"/>
      <c r="M21" s="38"/>
      <c r="N21" s="38"/>
      <c r="O21" s="38"/>
      <c r="P21" s="38"/>
      <c r="Q21" s="44"/>
      <c r="R21" s="44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43" t="s">
        <v>47</v>
      </c>
      <c r="B22" s="43">
        <v>3.0</v>
      </c>
      <c r="C22" s="58"/>
      <c r="D22" s="43">
        <v>3.0</v>
      </c>
      <c r="E22" s="45">
        <v>39.0</v>
      </c>
      <c r="F22" s="46">
        <v>13.0</v>
      </c>
      <c r="G22" s="46">
        <v>17.0</v>
      </c>
      <c r="H22" s="47"/>
      <c r="I22" s="47"/>
      <c r="J22" s="38"/>
      <c r="K22" s="38"/>
      <c r="L22" s="38"/>
      <c r="M22" s="38"/>
      <c r="N22" s="38"/>
      <c r="O22" s="38"/>
      <c r="P22" s="38"/>
      <c r="Q22" s="44"/>
      <c r="R22" s="44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40" t="s">
        <v>38</v>
      </c>
      <c r="B23" s="36">
        <v>10.0</v>
      </c>
      <c r="C23" s="36">
        <v>1.0</v>
      </c>
      <c r="D23" s="36">
        <v>9.0</v>
      </c>
      <c r="E23" s="45">
        <v>32.0</v>
      </c>
      <c r="F23" s="45">
        <v>2.0</v>
      </c>
      <c r="G23" s="45">
        <v>6.0</v>
      </c>
      <c r="H23" s="60">
        <v>14500.0</v>
      </c>
      <c r="I23" s="47"/>
      <c r="J23" s="38"/>
      <c r="K23" s="38"/>
      <c r="L23" s="38"/>
      <c r="M23" s="38"/>
      <c r="N23" s="38"/>
      <c r="O23" s="38"/>
      <c r="P23" s="38"/>
      <c r="Q23" s="44"/>
      <c r="R23" s="44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40" t="s">
        <v>34</v>
      </c>
      <c r="B24" s="36">
        <v>1.5</v>
      </c>
      <c r="C24" s="36">
        <v>1.0</v>
      </c>
      <c r="D24" s="36">
        <v>2.0</v>
      </c>
      <c r="E24" s="45">
        <v>19.0</v>
      </c>
      <c r="F24" s="45">
        <v>1.0</v>
      </c>
      <c r="G24" s="45">
        <v>4.0</v>
      </c>
      <c r="H24" s="60"/>
      <c r="I24" s="65"/>
      <c r="J24" s="38"/>
      <c r="K24" s="38"/>
      <c r="L24" s="38"/>
      <c r="M24" s="38"/>
      <c r="N24" s="38"/>
      <c r="O24" s="38"/>
      <c r="P24" s="38"/>
      <c r="Q24" s="44"/>
      <c r="R24" s="44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40" t="s">
        <v>29</v>
      </c>
      <c r="B25" s="36">
        <v>7.0</v>
      </c>
      <c r="C25" s="36">
        <v>4.0</v>
      </c>
      <c r="D25" s="36">
        <v>3.0</v>
      </c>
      <c r="E25" s="45">
        <v>45.0</v>
      </c>
      <c r="F25" s="45">
        <v>15.0</v>
      </c>
      <c r="G25" s="45">
        <v>31.0</v>
      </c>
      <c r="H25" s="65"/>
      <c r="I25" s="60"/>
      <c r="J25" s="55"/>
      <c r="K25" s="55"/>
      <c r="L25" s="55"/>
      <c r="M25" s="55"/>
      <c r="N25" s="59"/>
      <c r="O25" s="55"/>
      <c r="P25" s="55"/>
      <c r="Q25" s="66"/>
      <c r="R25" s="66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67" t="s">
        <v>46</v>
      </c>
      <c r="B26" s="67">
        <v>1.0</v>
      </c>
      <c r="C26" s="68"/>
      <c r="D26" s="67">
        <v>1.0</v>
      </c>
      <c r="E26" s="69">
        <v>7.0</v>
      </c>
      <c r="F26" s="69">
        <v>0.0</v>
      </c>
      <c r="G26" s="69">
        <v>0.0</v>
      </c>
      <c r="H26" s="70"/>
      <c r="I26" s="70"/>
      <c r="J26" s="15"/>
      <c r="K26" s="15"/>
      <c r="L26" s="15"/>
      <c r="M26" s="15"/>
      <c r="N26" s="16"/>
      <c r="O26" s="15"/>
      <c r="P26" s="15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6"/>
      <c r="O27" s="15"/>
      <c r="P27" s="15"/>
      <c r="Q27" s="16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6"/>
      <c r="O28" s="15"/>
      <c r="P28" s="15"/>
      <c r="Q28" s="16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6"/>
      <c r="O29" s="15"/>
      <c r="P29" s="15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6"/>
      <c r="O30" s="15"/>
      <c r="P30" s="15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6"/>
      <c r="O995" s="15"/>
      <c r="P995" s="15"/>
      <c r="Q995" s="16"/>
      <c r="R995" s="16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6"/>
      <c r="O996" s="15"/>
      <c r="P996" s="15"/>
      <c r="Q996" s="16"/>
      <c r="R996" s="16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>SUM(E3:E30)</f>
        <v>473</v>
      </c>
      <c r="F1" s="1">
        <f t="shared" ref="F1:G1" si="1">SUM(F3:F100)</f>
        <v>173</v>
      </c>
      <c r="G1" s="1">
        <f t="shared" si="1"/>
        <v>362</v>
      </c>
      <c r="H1" s="7">
        <f t="shared" ref="H1:I1" si="2">SUM(H3:H23)</f>
        <v>0</v>
      </c>
      <c r="I1" s="7">
        <f t="shared" si="2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40" t="s">
        <v>25</v>
      </c>
      <c r="B3" s="43"/>
      <c r="C3" s="43"/>
      <c r="D3" s="43"/>
      <c r="E3" s="45">
        <v>25.0</v>
      </c>
      <c r="F3" s="46">
        <v>8.0</v>
      </c>
      <c r="G3" s="46">
        <v>20.0</v>
      </c>
      <c r="H3" s="47"/>
      <c r="I3" s="47"/>
      <c r="J3" s="38"/>
      <c r="K3" s="38"/>
      <c r="L3" s="38"/>
      <c r="M3" s="38"/>
      <c r="N3" s="38"/>
      <c r="O3" s="38"/>
      <c r="P3" s="38"/>
      <c r="Q3" s="44"/>
      <c r="R3" s="44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50" t="s">
        <v>51</v>
      </c>
      <c r="B4" s="43"/>
      <c r="C4" s="43"/>
      <c r="D4" s="43"/>
      <c r="E4" s="52">
        <v>0.0</v>
      </c>
      <c r="F4" s="54">
        <v>0.0</v>
      </c>
      <c r="G4" s="54">
        <v>0.0</v>
      </c>
      <c r="H4" s="55"/>
      <c r="I4" s="55"/>
      <c r="J4" s="38"/>
      <c r="K4" s="38"/>
      <c r="L4" s="38"/>
      <c r="M4" s="38"/>
      <c r="N4" s="38"/>
      <c r="O4" s="38"/>
      <c r="P4" s="38"/>
      <c r="Q4" s="44"/>
      <c r="R4" s="44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50" t="s">
        <v>27</v>
      </c>
      <c r="B5" s="43">
        <v>1.0</v>
      </c>
      <c r="C5" s="43"/>
      <c r="D5" s="43">
        <v>1.0</v>
      </c>
      <c r="E5" s="52">
        <v>25.0</v>
      </c>
      <c r="F5" s="54">
        <v>2.0</v>
      </c>
      <c r="G5" s="54">
        <v>2.0</v>
      </c>
      <c r="H5" s="55"/>
      <c r="I5" s="55"/>
      <c r="J5" s="38"/>
      <c r="K5" s="38"/>
      <c r="L5" s="38"/>
      <c r="M5" s="38"/>
      <c r="N5" s="38"/>
      <c r="O5" s="38"/>
      <c r="P5" s="38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43" t="s">
        <v>30</v>
      </c>
      <c r="B6" s="58"/>
      <c r="C6" s="58"/>
      <c r="D6" s="58"/>
      <c r="E6" s="45">
        <v>0.0</v>
      </c>
      <c r="F6" s="46">
        <v>0.0</v>
      </c>
      <c r="G6" s="46">
        <v>0.0</v>
      </c>
      <c r="H6" s="47"/>
      <c r="I6" s="47"/>
      <c r="J6" s="38"/>
      <c r="K6" s="38"/>
      <c r="L6" s="38"/>
      <c r="M6" s="38"/>
      <c r="N6" s="38"/>
      <c r="O6" s="38"/>
      <c r="P6" s="38"/>
      <c r="Q6" s="44"/>
      <c r="R6" s="44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40" t="s">
        <v>32</v>
      </c>
      <c r="B7" s="36">
        <v>2.0</v>
      </c>
      <c r="C7" s="36"/>
      <c r="D7" s="36">
        <v>2.0</v>
      </c>
      <c r="E7" s="45">
        <v>34.0</v>
      </c>
      <c r="F7" s="45">
        <v>24.0</v>
      </c>
      <c r="G7" s="45">
        <v>51.0</v>
      </c>
      <c r="H7" s="60"/>
      <c r="I7" s="47"/>
      <c r="J7" s="38"/>
      <c r="K7" s="38"/>
      <c r="L7" s="38"/>
      <c r="M7" s="38"/>
      <c r="N7" s="38"/>
      <c r="O7" s="38"/>
      <c r="P7" s="38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43" t="s">
        <v>35</v>
      </c>
      <c r="B8" s="58"/>
      <c r="C8" s="58"/>
      <c r="D8" s="58"/>
      <c r="E8" s="45">
        <v>9.0</v>
      </c>
      <c r="F8" s="46">
        <v>6.0</v>
      </c>
      <c r="G8" s="46">
        <v>16.0</v>
      </c>
      <c r="H8" s="47"/>
      <c r="I8" s="47"/>
      <c r="J8" s="38"/>
      <c r="K8" s="38"/>
      <c r="L8" s="38"/>
      <c r="M8" s="38"/>
      <c r="N8" s="38"/>
      <c r="O8" s="38"/>
      <c r="P8" s="38"/>
      <c r="Q8" s="44"/>
      <c r="R8" s="44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6" t="s">
        <v>31</v>
      </c>
      <c r="B9" s="36">
        <v>6.0</v>
      </c>
      <c r="C9" s="36">
        <v>2.0</v>
      </c>
      <c r="D9" s="36">
        <v>4.0</v>
      </c>
      <c r="E9" s="45">
        <v>15.0</v>
      </c>
      <c r="F9" s="45">
        <v>3.0</v>
      </c>
      <c r="G9" s="45">
        <v>7.0</v>
      </c>
      <c r="H9" s="60"/>
      <c r="I9" s="60"/>
      <c r="J9" s="38"/>
      <c r="K9" s="38"/>
      <c r="L9" s="38"/>
      <c r="M9" s="38"/>
      <c r="N9" s="36"/>
      <c r="O9" s="38"/>
      <c r="P9" s="38"/>
      <c r="Q9" s="56"/>
      <c r="R9" s="44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6" t="s">
        <v>36</v>
      </c>
      <c r="B10" s="36">
        <v>1.0</v>
      </c>
      <c r="C10" s="36">
        <v>1.0</v>
      </c>
      <c r="D10" s="36"/>
      <c r="E10" s="45">
        <v>28.0</v>
      </c>
      <c r="F10" s="45">
        <v>22.0</v>
      </c>
      <c r="G10" s="45">
        <v>47.0</v>
      </c>
      <c r="H10" s="47"/>
      <c r="I10" s="47"/>
      <c r="J10" s="38"/>
      <c r="K10" s="38"/>
      <c r="L10" s="38"/>
      <c r="M10" s="38"/>
      <c r="N10" s="38"/>
      <c r="O10" s="38"/>
      <c r="P10" s="38"/>
      <c r="Q10" s="44"/>
      <c r="R10" s="44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6" t="s">
        <v>24</v>
      </c>
      <c r="B11" s="36">
        <v>1.0</v>
      </c>
      <c r="C11" s="36"/>
      <c r="D11" s="36">
        <v>1.0</v>
      </c>
      <c r="E11" s="45">
        <v>0.0</v>
      </c>
      <c r="F11" s="46">
        <v>0.0</v>
      </c>
      <c r="G11" s="46">
        <v>0.0</v>
      </c>
      <c r="H11" s="65"/>
      <c r="I11" s="65"/>
      <c r="J11" s="38"/>
      <c r="K11" s="38"/>
      <c r="L11" s="38"/>
      <c r="M11" s="38"/>
      <c r="N11" s="36"/>
      <c r="O11" s="38"/>
      <c r="P11" s="38"/>
      <c r="Q11" s="56"/>
      <c r="R11" s="44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50" t="s">
        <v>52</v>
      </c>
      <c r="B12" s="43"/>
      <c r="C12" s="43"/>
      <c r="D12" s="43"/>
      <c r="E12" s="52">
        <v>0.0</v>
      </c>
      <c r="F12" s="54">
        <v>0.0</v>
      </c>
      <c r="G12" s="54">
        <v>0.0</v>
      </c>
      <c r="H12" s="55"/>
      <c r="I12" s="55"/>
      <c r="J12" s="38"/>
      <c r="K12" s="38"/>
      <c r="L12" s="38"/>
      <c r="M12" s="38"/>
      <c r="N12" s="38"/>
      <c r="O12" s="38"/>
      <c r="P12" s="38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40" t="s">
        <v>26</v>
      </c>
      <c r="B13" s="36">
        <v>3.0</v>
      </c>
      <c r="C13" s="36">
        <v>1.0</v>
      </c>
      <c r="D13" s="36">
        <v>2.0</v>
      </c>
      <c r="E13" s="45">
        <v>53.0</v>
      </c>
      <c r="F13" s="45">
        <v>22.0</v>
      </c>
      <c r="G13" s="45">
        <v>49.0</v>
      </c>
      <c r="H13" s="65"/>
      <c r="I13" s="60"/>
      <c r="J13" s="38"/>
      <c r="K13" s="38"/>
      <c r="L13" s="38"/>
      <c r="M13" s="38"/>
      <c r="N13" s="38"/>
      <c r="O13" s="38"/>
      <c r="P13" s="38"/>
      <c r="Q13" s="44"/>
      <c r="R13" s="44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6" t="s">
        <v>42</v>
      </c>
      <c r="B14" s="36"/>
      <c r="C14" s="36"/>
      <c r="D14" s="36"/>
      <c r="E14" s="45">
        <v>16.0</v>
      </c>
      <c r="F14" s="45">
        <v>1.0</v>
      </c>
      <c r="G14" s="45">
        <v>1.0</v>
      </c>
      <c r="H14" s="65"/>
      <c r="I14" s="65"/>
      <c r="J14" s="38"/>
      <c r="K14" s="38"/>
      <c r="L14" s="38"/>
      <c r="M14" s="38"/>
      <c r="N14" s="38"/>
      <c r="O14" s="38"/>
      <c r="P14" s="38"/>
      <c r="Q14" s="44"/>
      <c r="R14" s="44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43" t="s">
        <v>43</v>
      </c>
      <c r="B15" s="43">
        <v>1.0</v>
      </c>
      <c r="C15" s="43">
        <v>1.0</v>
      </c>
      <c r="D15" s="58"/>
      <c r="E15" s="45">
        <v>4.0</v>
      </c>
      <c r="F15" s="46">
        <v>5.0</v>
      </c>
      <c r="G15" s="46">
        <v>10.0</v>
      </c>
      <c r="H15" s="47"/>
      <c r="I15" s="47"/>
      <c r="J15" s="38"/>
      <c r="K15" s="38"/>
      <c r="L15" s="38"/>
      <c r="M15" s="38"/>
      <c r="N15" s="36"/>
      <c r="O15" s="38"/>
      <c r="P15" s="38"/>
      <c r="Q15" s="56"/>
      <c r="R15" s="44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6" t="s">
        <v>40</v>
      </c>
      <c r="B16" s="36">
        <v>2.0</v>
      </c>
      <c r="C16" s="38"/>
      <c r="D16" s="36">
        <v>2.0</v>
      </c>
      <c r="E16" s="45">
        <v>7.0</v>
      </c>
      <c r="F16" s="45">
        <v>4.0</v>
      </c>
      <c r="G16" s="45">
        <v>6.0</v>
      </c>
      <c r="H16" s="47"/>
      <c r="I16" s="47"/>
      <c r="J16" s="38"/>
      <c r="K16" s="38"/>
      <c r="L16" s="38"/>
      <c r="M16" s="38"/>
      <c r="N16" s="36"/>
      <c r="O16" s="38"/>
      <c r="P16" s="38"/>
      <c r="Q16" s="44"/>
      <c r="R16" s="44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6" t="s">
        <v>39</v>
      </c>
      <c r="B17" s="36"/>
      <c r="C17" s="36"/>
      <c r="D17" s="36"/>
      <c r="E17" s="45">
        <v>1.0</v>
      </c>
      <c r="F17" s="45">
        <v>0.0</v>
      </c>
      <c r="G17" s="45">
        <v>0.0</v>
      </c>
      <c r="H17" s="60"/>
      <c r="I17" s="65"/>
      <c r="J17" s="38"/>
      <c r="K17" s="38"/>
      <c r="L17" s="38"/>
      <c r="M17" s="38"/>
      <c r="N17" s="38"/>
      <c r="O17" s="38"/>
      <c r="P17" s="38"/>
      <c r="Q17" s="56"/>
      <c r="R17" s="44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6" t="s">
        <v>37</v>
      </c>
      <c r="B18" s="38"/>
      <c r="C18" s="38"/>
      <c r="D18" s="38"/>
      <c r="E18" s="45">
        <v>18.0</v>
      </c>
      <c r="F18" s="45">
        <v>6.0</v>
      </c>
      <c r="G18" s="45">
        <v>11.0</v>
      </c>
      <c r="H18" s="60"/>
      <c r="I18" s="60"/>
      <c r="J18" s="38"/>
      <c r="K18" s="38"/>
      <c r="L18" s="38"/>
      <c r="M18" s="38"/>
      <c r="N18" s="38"/>
      <c r="O18" s="38"/>
      <c r="P18" s="38"/>
      <c r="Q18" s="44"/>
      <c r="R18" s="44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50" t="s">
        <v>53</v>
      </c>
      <c r="B19" s="43"/>
      <c r="C19" s="43"/>
      <c r="D19" s="43"/>
      <c r="E19" s="52">
        <v>0.0</v>
      </c>
      <c r="F19" s="54">
        <v>0.0</v>
      </c>
      <c r="G19" s="54">
        <v>0.0</v>
      </c>
      <c r="H19" s="55"/>
      <c r="I19" s="55"/>
      <c r="J19" s="38"/>
      <c r="K19" s="38"/>
      <c r="L19" s="38"/>
      <c r="M19" s="38"/>
      <c r="N19" s="38"/>
      <c r="O19" s="38"/>
      <c r="P19" s="38"/>
      <c r="Q19" s="44"/>
      <c r="R19" s="44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6" t="s">
        <v>33</v>
      </c>
      <c r="B20" s="38"/>
      <c r="C20" s="38"/>
      <c r="D20" s="38"/>
      <c r="E20" s="45">
        <v>16.0</v>
      </c>
      <c r="F20" s="45">
        <v>2.0</v>
      </c>
      <c r="G20" s="45">
        <v>5.0</v>
      </c>
      <c r="H20" s="47"/>
      <c r="I20" s="47"/>
      <c r="J20" s="38"/>
      <c r="K20" s="38"/>
      <c r="L20" s="38"/>
      <c r="M20" s="38"/>
      <c r="N20" s="38"/>
      <c r="O20" s="38"/>
      <c r="P20" s="38"/>
      <c r="Q20" s="44"/>
      <c r="R20" s="44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6" t="s">
        <v>41</v>
      </c>
      <c r="B21" s="36">
        <v>1.0</v>
      </c>
      <c r="C21" s="38"/>
      <c r="D21" s="36">
        <v>1.0</v>
      </c>
      <c r="E21" s="45">
        <v>25.0</v>
      </c>
      <c r="F21" s="45">
        <v>12.0</v>
      </c>
      <c r="G21" s="45">
        <v>26.0</v>
      </c>
      <c r="H21" s="47"/>
      <c r="I21" s="47"/>
      <c r="J21" s="38"/>
      <c r="K21" s="38"/>
      <c r="L21" s="38"/>
      <c r="M21" s="38"/>
      <c r="N21" s="38"/>
      <c r="O21" s="38"/>
      <c r="P21" s="38"/>
      <c r="Q21" s="44"/>
      <c r="R21" s="44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6" t="s">
        <v>28</v>
      </c>
      <c r="B22" s="36">
        <v>2.0</v>
      </c>
      <c r="C22" s="36">
        <v>1.0</v>
      </c>
      <c r="D22" s="36">
        <v>1.0</v>
      </c>
      <c r="E22" s="45">
        <v>23.0</v>
      </c>
      <c r="F22" s="45">
        <v>6.0</v>
      </c>
      <c r="G22" s="45">
        <v>7.0</v>
      </c>
      <c r="H22" s="60"/>
      <c r="I22" s="60"/>
      <c r="J22" s="38"/>
      <c r="K22" s="38"/>
      <c r="L22" s="38"/>
      <c r="M22" s="38"/>
      <c r="N22" s="38"/>
      <c r="O22" s="38"/>
      <c r="P22" s="38"/>
      <c r="Q22" s="44"/>
      <c r="R22" s="44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40" t="s">
        <v>49</v>
      </c>
      <c r="B23" s="43">
        <v>6.0</v>
      </c>
      <c r="C23" s="43">
        <v>5.0</v>
      </c>
      <c r="D23" s="43">
        <v>1.0</v>
      </c>
      <c r="E23" s="45">
        <v>29.0</v>
      </c>
      <c r="F23" s="46">
        <v>22.0</v>
      </c>
      <c r="G23" s="46">
        <v>45.0</v>
      </c>
      <c r="H23" s="47"/>
      <c r="I23" s="47"/>
      <c r="J23" s="38"/>
      <c r="K23" s="38"/>
      <c r="L23" s="38"/>
      <c r="M23" s="38"/>
      <c r="N23" s="38"/>
      <c r="O23" s="38"/>
      <c r="P23" s="38"/>
      <c r="Q23" s="44"/>
      <c r="R23" s="44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40" t="s">
        <v>47</v>
      </c>
      <c r="B24" s="43">
        <v>4.0</v>
      </c>
      <c r="C24" s="43">
        <v>1.0</v>
      </c>
      <c r="D24" s="43">
        <v>3.0</v>
      </c>
      <c r="E24" s="45">
        <v>18.0</v>
      </c>
      <c r="F24" s="46">
        <v>4.0</v>
      </c>
      <c r="G24" s="46">
        <v>5.0</v>
      </c>
      <c r="H24" s="47"/>
      <c r="I24" s="47"/>
      <c r="J24" s="38"/>
      <c r="K24" s="38"/>
      <c r="L24" s="38"/>
      <c r="M24" s="38"/>
      <c r="N24" s="38"/>
      <c r="O24" s="38"/>
      <c r="P24" s="38"/>
      <c r="Q24" s="44"/>
      <c r="R24" s="44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75" t="s">
        <v>38</v>
      </c>
      <c r="B25" s="36">
        <v>4.0</v>
      </c>
      <c r="C25" s="36">
        <v>1.0</v>
      </c>
      <c r="D25" s="36">
        <v>3.0</v>
      </c>
      <c r="E25" s="45">
        <v>51.0</v>
      </c>
      <c r="F25" s="45">
        <v>5.0</v>
      </c>
      <c r="G25" s="45">
        <v>10.0</v>
      </c>
      <c r="H25" s="60"/>
      <c r="I25" s="47"/>
      <c r="J25" s="38"/>
      <c r="K25" s="38"/>
      <c r="L25" s="38"/>
      <c r="M25" s="38"/>
      <c r="N25" s="38"/>
      <c r="O25" s="38"/>
      <c r="P25" s="38"/>
      <c r="Q25" s="44"/>
      <c r="R25" s="44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76" t="s">
        <v>55</v>
      </c>
      <c r="B26" s="43"/>
      <c r="C26" s="43"/>
      <c r="D26" s="43"/>
      <c r="E26" s="52">
        <v>0.0</v>
      </c>
      <c r="F26" s="54">
        <v>1.0</v>
      </c>
      <c r="G26" s="54">
        <v>1.0</v>
      </c>
      <c r="H26" s="55"/>
      <c r="I26" s="55"/>
      <c r="J26" s="55"/>
      <c r="K26" s="55"/>
      <c r="L26" s="55"/>
      <c r="M26" s="55"/>
      <c r="N26" s="59"/>
      <c r="O26" s="55"/>
      <c r="P26" s="55"/>
      <c r="Q26" s="59"/>
      <c r="R26" s="59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22.5" customHeight="1">
      <c r="A27" s="75" t="s">
        <v>34</v>
      </c>
      <c r="B27" s="36">
        <v>3.0</v>
      </c>
      <c r="C27" s="36">
        <v>3.0</v>
      </c>
      <c r="D27" s="36">
        <v>1.0</v>
      </c>
      <c r="E27" s="45">
        <v>37.0</v>
      </c>
      <c r="F27" s="45">
        <v>4.0</v>
      </c>
      <c r="G27" s="45">
        <v>11.0</v>
      </c>
      <c r="H27" s="60"/>
      <c r="I27" s="65"/>
      <c r="J27" s="55"/>
      <c r="K27" s="55"/>
      <c r="L27" s="55"/>
      <c r="M27" s="55"/>
      <c r="N27" s="59"/>
      <c r="O27" s="55"/>
      <c r="P27" s="55"/>
      <c r="Q27" s="59"/>
      <c r="R27" s="59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22.5" customHeight="1">
      <c r="A28" s="77" t="s">
        <v>29</v>
      </c>
      <c r="B28" s="36">
        <v>7.0</v>
      </c>
      <c r="C28" s="36">
        <v>3.0</v>
      </c>
      <c r="D28" s="36">
        <v>4.0</v>
      </c>
      <c r="E28" s="45">
        <v>31.0</v>
      </c>
      <c r="F28" s="45">
        <v>11.0</v>
      </c>
      <c r="G28" s="45">
        <v>24.0</v>
      </c>
      <c r="H28" s="65"/>
      <c r="I28" s="60"/>
      <c r="J28" s="55"/>
      <c r="K28" s="55"/>
      <c r="L28" s="55"/>
      <c r="M28" s="55"/>
      <c r="N28" s="59"/>
      <c r="O28" s="55"/>
      <c r="P28" s="55"/>
      <c r="Q28" s="59"/>
      <c r="R28" s="59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22.5" customHeight="1">
      <c r="A29" s="77" t="s">
        <v>46</v>
      </c>
      <c r="B29" s="43">
        <v>4.5</v>
      </c>
      <c r="C29" s="43">
        <v>1.0</v>
      </c>
      <c r="D29" s="43">
        <v>7.0</v>
      </c>
      <c r="E29" s="45">
        <v>8.0</v>
      </c>
      <c r="F29" s="45">
        <v>2.0</v>
      </c>
      <c r="G29" s="45">
        <v>6.0</v>
      </c>
      <c r="H29" s="47"/>
      <c r="I29" s="47"/>
      <c r="J29" s="55"/>
      <c r="K29" s="55"/>
      <c r="L29" s="55"/>
      <c r="M29" s="55"/>
      <c r="N29" s="59"/>
      <c r="O29" s="55"/>
      <c r="P29" s="55"/>
      <c r="Q29" s="59"/>
      <c r="R29" s="59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22.5" customHeight="1">
      <c r="A30" s="76" t="s">
        <v>56</v>
      </c>
      <c r="B30" s="43"/>
      <c r="C30" s="43"/>
      <c r="D30" s="43"/>
      <c r="E30" s="55"/>
      <c r="F30" s="54">
        <v>1.0</v>
      </c>
      <c r="G30" s="54">
        <v>2.0</v>
      </c>
      <c r="H30" s="55"/>
      <c r="I30" s="55"/>
      <c r="J30" s="55"/>
      <c r="K30" s="55"/>
      <c r="L30" s="55"/>
      <c r="M30" s="55"/>
      <c r="N30" s="59"/>
      <c r="O30" s="55"/>
      <c r="P30" s="55"/>
      <c r="Q30" s="59"/>
      <c r="R30" s="59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22.5" customHeight="1">
      <c r="A31" s="78"/>
      <c r="B31" s="79">
        <f>SUM(Table1_5[Column 2])</f>
        <v>48.5</v>
      </c>
      <c r="C31" s="79"/>
      <c r="D31" s="79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468</v>
      </c>
      <c r="F1" s="1">
        <f t="shared" si="1"/>
        <v>140</v>
      </c>
      <c r="G1" s="1">
        <f t="shared" si="1"/>
        <v>268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40" t="s">
        <v>25</v>
      </c>
      <c r="B3" s="43">
        <v>1.0</v>
      </c>
      <c r="C3" s="58"/>
      <c r="D3" s="43">
        <v>1.0</v>
      </c>
      <c r="E3" s="34">
        <v>59.0</v>
      </c>
      <c r="F3" s="35">
        <v>13.0</v>
      </c>
      <c r="G3" s="35">
        <v>23.0</v>
      </c>
      <c r="H3" s="62"/>
      <c r="I3" s="62"/>
      <c r="J3" s="38"/>
      <c r="K3" s="38"/>
      <c r="L3" s="38"/>
      <c r="M3" s="38"/>
      <c r="N3" s="38"/>
      <c r="O3" s="38"/>
      <c r="P3" s="38"/>
      <c r="Q3" s="44"/>
      <c r="R3" s="44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43" t="s">
        <v>27</v>
      </c>
      <c r="B4" s="58"/>
      <c r="C4" s="58"/>
      <c r="D4" s="58"/>
      <c r="E4" s="33">
        <v>15.0</v>
      </c>
      <c r="F4" s="72">
        <v>5.0</v>
      </c>
      <c r="G4" s="72">
        <v>5.0</v>
      </c>
      <c r="H4" s="59"/>
      <c r="I4" s="59"/>
      <c r="J4" s="38"/>
      <c r="K4" s="38"/>
      <c r="L4" s="38"/>
      <c r="M4" s="38"/>
      <c r="N4" s="38"/>
      <c r="O4" s="38"/>
      <c r="P4" s="38"/>
      <c r="Q4" s="44"/>
      <c r="R4" s="44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43" t="s">
        <v>30</v>
      </c>
      <c r="B5" s="58"/>
      <c r="C5" s="58"/>
      <c r="D5" s="58"/>
      <c r="E5" s="34">
        <v>0.0</v>
      </c>
      <c r="F5" s="35">
        <v>0.0</v>
      </c>
      <c r="G5" s="35">
        <v>0.0</v>
      </c>
      <c r="H5" s="62"/>
      <c r="I5" s="62"/>
      <c r="J5" s="38"/>
      <c r="K5" s="38"/>
      <c r="L5" s="38"/>
      <c r="M5" s="38"/>
      <c r="N5" s="38"/>
      <c r="O5" s="38"/>
      <c r="P5" s="38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40" t="s">
        <v>32</v>
      </c>
      <c r="B6" s="36">
        <v>4.0</v>
      </c>
      <c r="C6" s="36">
        <v>1.0</v>
      </c>
      <c r="D6" s="36">
        <v>3.0</v>
      </c>
      <c r="E6" s="34">
        <v>27.0</v>
      </c>
      <c r="F6" s="34">
        <v>9.0</v>
      </c>
      <c r="G6" s="34">
        <v>25.0</v>
      </c>
      <c r="H6" s="57"/>
      <c r="I6" s="62"/>
      <c r="J6" s="38"/>
      <c r="K6" s="38"/>
      <c r="L6" s="38"/>
      <c r="M6" s="38"/>
      <c r="N6" s="38"/>
      <c r="O6" s="38"/>
      <c r="P6" s="38"/>
      <c r="Q6" s="44"/>
      <c r="R6" s="44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43" t="s">
        <v>35</v>
      </c>
      <c r="B7" s="58"/>
      <c r="C7" s="58"/>
      <c r="D7" s="58"/>
      <c r="E7" s="34">
        <v>10.0</v>
      </c>
      <c r="F7" s="35">
        <v>2.0</v>
      </c>
      <c r="G7" s="35">
        <v>5.0</v>
      </c>
      <c r="H7" s="62"/>
      <c r="I7" s="62"/>
      <c r="J7" s="38"/>
      <c r="K7" s="38"/>
      <c r="L7" s="38"/>
      <c r="M7" s="38"/>
      <c r="N7" s="38"/>
      <c r="O7" s="38"/>
      <c r="P7" s="38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40" t="s">
        <v>31</v>
      </c>
      <c r="B8" s="36">
        <v>1.5</v>
      </c>
      <c r="C8" s="36"/>
      <c r="D8" s="36">
        <v>1.0</v>
      </c>
      <c r="E8" s="34">
        <v>41.0</v>
      </c>
      <c r="F8" s="34">
        <v>9.0</v>
      </c>
      <c r="G8" s="34">
        <v>26.0</v>
      </c>
      <c r="H8" s="57"/>
      <c r="I8" s="57"/>
      <c r="J8" s="38"/>
      <c r="K8" s="38"/>
      <c r="L8" s="38"/>
      <c r="M8" s="38"/>
      <c r="N8" s="38"/>
      <c r="O8" s="38"/>
      <c r="P8" s="38"/>
      <c r="Q8" s="44"/>
      <c r="R8" s="44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40" t="s">
        <v>36</v>
      </c>
      <c r="B9" s="36">
        <v>4.0</v>
      </c>
      <c r="C9" s="36">
        <v>3.0</v>
      </c>
      <c r="D9" s="36">
        <v>1.0</v>
      </c>
      <c r="E9" s="34">
        <v>22.0</v>
      </c>
      <c r="F9" s="34">
        <v>14.0</v>
      </c>
      <c r="G9" s="34">
        <v>23.0</v>
      </c>
      <c r="H9" s="62"/>
      <c r="I9" s="62"/>
      <c r="J9" s="38"/>
      <c r="K9" s="38"/>
      <c r="L9" s="38"/>
      <c r="M9" s="38"/>
      <c r="N9" s="36"/>
      <c r="O9" s="38"/>
      <c r="P9" s="38"/>
      <c r="Q9" s="56"/>
      <c r="R9" s="44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6" t="s">
        <v>24</v>
      </c>
      <c r="B10" s="36">
        <v>1.0</v>
      </c>
      <c r="C10" s="36"/>
      <c r="D10" s="36">
        <v>1.0</v>
      </c>
      <c r="E10" s="35"/>
      <c r="F10" s="35">
        <v>0.0</v>
      </c>
      <c r="G10" s="35">
        <v>0.0</v>
      </c>
      <c r="H10" s="39"/>
      <c r="I10" s="39"/>
      <c r="J10" s="38"/>
      <c r="K10" s="38"/>
      <c r="L10" s="38"/>
      <c r="M10" s="38"/>
      <c r="N10" s="38"/>
      <c r="O10" s="38"/>
      <c r="P10" s="38"/>
      <c r="Q10" s="44"/>
      <c r="R10" s="44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40" t="s">
        <v>26</v>
      </c>
      <c r="B11" s="36">
        <v>5.0</v>
      </c>
      <c r="C11" s="36">
        <v>2.0</v>
      </c>
      <c r="D11" s="36">
        <v>6.0</v>
      </c>
      <c r="E11" s="34">
        <v>59.0</v>
      </c>
      <c r="F11" s="34">
        <v>6.0</v>
      </c>
      <c r="G11" s="34">
        <v>6.0</v>
      </c>
      <c r="H11" s="39"/>
      <c r="I11" s="57"/>
      <c r="J11" s="38"/>
      <c r="K11" s="38"/>
      <c r="L11" s="38"/>
      <c r="M11" s="38"/>
      <c r="N11" s="36"/>
      <c r="O11" s="38"/>
      <c r="P11" s="38"/>
      <c r="Q11" s="56"/>
      <c r="R11" s="44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40" t="s">
        <v>42</v>
      </c>
      <c r="B12" s="36">
        <v>1.0</v>
      </c>
      <c r="C12" s="36" t="s">
        <v>54</v>
      </c>
      <c r="D12" s="36">
        <v>1.0</v>
      </c>
      <c r="E12" s="34">
        <v>11.0</v>
      </c>
      <c r="F12" s="34">
        <v>2.0</v>
      </c>
      <c r="G12" s="34">
        <v>2.0</v>
      </c>
      <c r="H12" s="39"/>
      <c r="I12" s="39"/>
      <c r="J12" s="38"/>
      <c r="K12" s="38"/>
      <c r="L12" s="38"/>
      <c r="M12" s="38"/>
      <c r="N12" s="38"/>
      <c r="O12" s="38"/>
      <c r="P12" s="38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40" t="s">
        <v>43</v>
      </c>
      <c r="B13" s="43">
        <v>2.0</v>
      </c>
      <c r="C13" s="43">
        <v>1.0</v>
      </c>
      <c r="D13" s="43">
        <v>1.0</v>
      </c>
      <c r="E13" s="34">
        <v>2.0</v>
      </c>
      <c r="F13" s="35">
        <v>3.0</v>
      </c>
      <c r="G13" s="35">
        <v>4.0</v>
      </c>
      <c r="H13" s="62"/>
      <c r="I13" s="62"/>
      <c r="J13" s="38"/>
      <c r="K13" s="38"/>
      <c r="L13" s="38"/>
      <c r="M13" s="38"/>
      <c r="N13" s="38"/>
      <c r="O13" s="38"/>
      <c r="P13" s="38"/>
      <c r="Q13" s="44"/>
      <c r="R13" s="44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40" t="s">
        <v>40</v>
      </c>
      <c r="B14" s="36">
        <v>1.0</v>
      </c>
      <c r="C14" s="38"/>
      <c r="D14" s="36">
        <v>1.0</v>
      </c>
      <c r="E14" s="34">
        <v>10.0</v>
      </c>
      <c r="F14" s="34">
        <v>9.0</v>
      </c>
      <c r="G14" s="34">
        <v>12.0</v>
      </c>
      <c r="H14" s="62"/>
      <c r="I14" s="62"/>
      <c r="J14" s="38"/>
      <c r="K14" s="38"/>
      <c r="L14" s="38"/>
      <c r="M14" s="38"/>
      <c r="N14" s="36"/>
      <c r="O14" s="38"/>
      <c r="P14" s="38"/>
      <c r="Q14" s="56"/>
      <c r="R14" s="44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36" t="s">
        <v>39</v>
      </c>
      <c r="B15" s="36"/>
      <c r="C15" s="36"/>
      <c r="D15" s="36"/>
      <c r="E15" s="34">
        <v>1.0</v>
      </c>
      <c r="F15" s="34">
        <v>0.0</v>
      </c>
      <c r="G15" s="34">
        <v>0.0</v>
      </c>
      <c r="H15" s="57"/>
      <c r="I15" s="39"/>
      <c r="J15" s="38"/>
      <c r="K15" s="38"/>
      <c r="L15" s="38"/>
      <c r="M15" s="38"/>
      <c r="N15" s="36"/>
      <c r="O15" s="38"/>
      <c r="P15" s="38"/>
      <c r="Q15" s="44"/>
      <c r="R15" s="44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6" t="s">
        <v>37</v>
      </c>
      <c r="B16" s="38"/>
      <c r="C16" s="38"/>
      <c r="D16" s="38"/>
      <c r="E16" s="34">
        <v>8.0</v>
      </c>
      <c r="F16" s="34">
        <v>9.0</v>
      </c>
      <c r="G16" s="34">
        <v>11.0</v>
      </c>
      <c r="H16" s="57"/>
      <c r="I16" s="57"/>
      <c r="J16" s="38"/>
      <c r="K16" s="38"/>
      <c r="L16" s="38"/>
      <c r="M16" s="38"/>
      <c r="N16" s="38"/>
      <c r="O16" s="38"/>
      <c r="P16" s="38"/>
      <c r="Q16" s="44"/>
      <c r="R16" s="44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6" t="s">
        <v>33</v>
      </c>
      <c r="B17" s="38"/>
      <c r="C17" s="38"/>
      <c r="D17" s="38"/>
      <c r="E17" s="34">
        <v>5.0</v>
      </c>
      <c r="F17" s="34">
        <v>1.0</v>
      </c>
      <c r="G17" s="34">
        <v>3.0</v>
      </c>
      <c r="H17" s="62"/>
      <c r="I17" s="62"/>
      <c r="J17" s="38"/>
      <c r="K17" s="38"/>
      <c r="L17" s="38"/>
      <c r="M17" s="38"/>
      <c r="N17" s="38"/>
      <c r="O17" s="38"/>
      <c r="P17" s="38"/>
      <c r="Q17" s="44"/>
      <c r="R17" s="44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40" t="s">
        <v>41</v>
      </c>
      <c r="B18" s="36">
        <v>2.0</v>
      </c>
      <c r="C18" s="36">
        <v>1.0</v>
      </c>
      <c r="D18" s="36">
        <v>2.0</v>
      </c>
      <c r="E18" s="34">
        <v>28.0</v>
      </c>
      <c r="F18" s="34">
        <v>9.0</v>
      </c>
      <c r="G18" s="34">
        <v>22.0</v>
      </c>
      <c r="H18" s="62"/>
      <c r="I18" s="62"/>
      <c r="J18" s="38"/>
      <c r="K18" s="38"/>
      <c r="L18" s="38"/>
      <c r="M18" s="38"/>
      <c r="N18" s="38"/>
      <c r="O18" s="38"/>
      <c r="P18" s="38"/>
      <c r="Q18" s="44"/>
      <c r="R18" s="44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40" t="s">
        <v>28</v>
      </c>
      <c r="B19" s="36">
        <v>1.0</v>
      </c>
      <c r="C19" s="38"/>
      <c r="D19" s="36">
        <v>2.0</v>
      </c>
      <c r="E19" s="34">
        <v>28.0</v>
      </c>
      <c r="F19" s="34">
        <v>5.0</v>
      </c>
      <c r="G19" s="34">
        <v>6.0</v>
      </c>
      <c r="H19" s="57"/>
      <c r="I19" s="57"/>
      <c r="J19" s="38"/>
      <c r="K19" s="38"/>
      <c r="L19" s="38"/>
      <c r="M19" s="38"/>
      <c r="N19" s="38"/>
      <c r="O19" s="38"/>
      <c r="P19" s="38"/>
      <c r="Q19" s="44"/>
      <c r="R19" s="44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40" t="s">
        <v>49</v>
      </c>
      <c r="B20" s="43">
        <v>5.0</v>
      </c>
      <c r="C20" s="43">
        <v>2.0</v>
      </c>
      <c r="D20" s="43">
        <v>3.0</v>
      </c>
      <c r="E20" s="34">
        <v>63.0</v>
      </c>
      <c r="F20" s="35">
        <v>19.0</v>
      </c>
      <c r="G20" s="35">
        <v>44.0</v>
      </c>
      <c r="H20" s="62"/>
      <c r="I20" s="62"/>
      <c r="J20" s="38"/>
      <c r="K20" s="38"/>
      <c r="L20" s="38"/>
      <c r="M20" s="38"/>
      <c r="N20" s="38"/>
      <c r="O20" s="38"/>
      <c r="P20" s="38"/>
      <c r="Q20" s="44"/>
      <c r="R20" s="44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40" t="s">
        <v>47</v>
      </c>
      <c r="B21" s="43">
        <v>2.0</v>
      </c>
      <c r="C21" s="43">
        <v>1.0</v>
      </c>
      <c r="D21" s="43">
        <v>1.0</v>
      </c>
      <c r="E21" s="34">
        <v>22.0</v>
      </c>
      <c r="F21" s="35">
        <v>5.0</v>
      </c>
      <c r="G21" s="35">
        <v>7.0</v>
      </c>
      <c r="H21" s="62"/>
      <c r="I21" s="62"/>
      <c r="J21" s="38"/>
      <c r="K21" s="38"/>
      <c r="L21" s="38"/>
      <c r="M21" s="38"/>
      <c r="N21" s="38"/>
      <c r="O21" s="38"/>
      <c r="P21" s="38"/>
      <c r="Q21" s="44"/>
      <c r="R21" s="44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6" t="s">
        <v>38</v>
      </c>
      <c r="B22" s="38"/>
      <c r="C22" s="38"/>
      <c r="D22" s="38"/>
      <c r="E22" s="34">
        <v>28.0</v>
      </c>
      <c r="F22" s="34">
        <v>9.0</v>
      </c>
      <c r="G22" s="34">
        <v>21.0</v>
      </c>
      <c r="H22" s="57"/>
      <c r="I22" s="62"/>
      <c r="J22" s="38"/>
      <c r="K22" s="38"/>
      <c r="L22" s="38"/>
      <c r="M22" s="38"/>
      <c r="N22" s="38"/>
      <c r="O22" s="38"/>
      <c r="P22" s="38"/>
      <c r="Q22" s="44"/>
      <c r="R22" s="44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43" t="s">
        <v>55</v>
      </c>
      <c r="B23" s="43">
        <v>1.0</v>
      </c>
      <c r="C23" s="43">
        <v>1.0</v>
      </c>
      <c r="D23" s="58"/>
      <c r="E23" s="33">
        <v>5.0</v>
      </c>
      <c r="F23" s="72">
        <v>3.0</v>
      </c>
      <c r="G23" s="72">
        <v>5.0</v>
      </c>
      <c r="H23" s="59"/>
      <c r="I23" s="59"/>
      <c r="J23" s="38"/>
      <c r="K23" s="38"/>
      <c r="L23" s="38"/>
      <c r="M23" s="38"/>
      <c r="N23" s="38"/>
      <c r="O23" s="38"/>
      <c r="P23" s="38"/>
      <c r="Q23" s="44"/>
      <c r="R23" s="44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73" t="s">
        <v>34</v>
      </c>
      <c r="B24" s="36"/>
      <c r="C24" s="36"/>
      <c r="D24" s="36"/>
      <c r="E24" s="34">
        <v>24.0</v>
      </c>
      <c r="F24" s="34">
        <v>8.0</v>
      </c>
      <c r="G24" s="34">
        <v>18.0</v>
      </c>
      <c r="H24" s="57"/>
      <c r="I24" s="39"/>
      <c r="J24" s="38"/>
      <c r="K24" s="38"/>
      <c r="L24" s="38"/>
      <c r="M24" s="38"/>
      <c r="N24" s="38"/>
      <c r="O24" s="38"/>
      <c r="P24" s="38"/>
      <c r="Q24" s="44"/>
      <c r="R24" s="44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6" t="s">
        <v>29</v>
      </c>
      <c r="B25" s="36"/>
      <c r="C25" s="36"/>
      <c r="D25" s="36"/>
      <c r="E25" s="34">
        <v>37.0</v>
      </c>
      <c r="F25" s="34">
        <v>1.0</v>
      </c>
      <c r="G25" s="34">
        <v>1.0</v>
      </c>
      <c r="H25" s="39"/>
      <c r="I25" s="57"/>
      <c r="J25" s="59"/>
      <c r="K25" s="59"/>
      <c r="L25" s="59"/>
      <c r="M25" s="59"/>
      <c r="N25" s="59"/>
      <c r="O25" s="59"/>
      <c r="P25" s="59"/>
      <c r="Q25" s="59"/>
      <c r="R25" s="59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40" t="s">
        <v>46</v>
      </c>
      <c r="B26" s="43">
        <v>3.0</v>
      </c>
      <c r="C26" s="43">
        <v>1.0</v>
      </c>
      <c r="D26" s="43">
        <v>2.0</v>
      </c>
      <c r="E26" s="34">
        <v>14.0</v>
      </c>
      <c r="F26" s="34">
        <v>4.0</v>
      </c>
      <c r="G26" s="34">
        <v>7.0</v>
      </c>
      <c r="H26" s="62"/>
      <c r="I26" s="62"/>
      <c r="J26" s="59"/>
      <c r="K26" s="59"/>
      <c r="L26" s="59"/>
      <c r="M26" s="59"/>
      <c r="N26" s="59"/>
      <c r="O26" s="59"/>
      <c r="P26" s="59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8"/>
      <c r="B27" s="79">
        <f>SUM(Table1_6[Column 2])</f>
        <v>34.5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557</v>
      </c>
      <c r="F1" s="1">
        <f t="shared" si="1"/>
        <v>131</v>
      </c>
      <c r="G1" s="1">
        <f t="shared" si="1"/>
        <v>225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40" t="s">
        <v>25</v>
      </c>
      <c r="B3" s="43">
        <v>3.0</v>
      </c>
      <c r="C3" s="73">
        <v>1.0</v>
      </c>
      <c r="D3" s="73">
        <v>2.0</v>
      </c>
      <c r="E3" s="74">
        <v>35.0</v>
      </c>
      <c r="F3" s="35">
        <v>6.0</v>
      </c>
      <c r="G3" s="35">
        <v>8.0</v>
      </c>
      <c r="H3" s="62"/>
      <c r="I3" s="62"/>
      <c r="J3" s="38"/>
      <c r="K3" s="38"/>
      <c r="L3" s="38"/>
      <c r="M3" s="38"/>
      <c r="N3" s="38"/>
      <c r="O3" s="38"/>
      <c r="P3" s="38"/>
      <c r="Q3" s="44"/>
      <c r="R3" s="44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40" t="s">
        <v>27</v>
      </c>
      <c r="B4" s="43">
        <v>1.0</v>
      </c>
      <c r="C4" s="43">
        <v>1.0</v>
      </c>
      <c r="D4" s="58"/>
      <c r="E4" s="33">
        <v>65.0</v>
      </c>
      <c r="F4" s="72">
        <v>6.0</v>
      </c>
      <c r="G4" s="72">
        <v>17.0</v>
      </c>
      <c r="H4" s="59"/>
      <c r="I4" s="59"/>
      <c r="J4" s="38"/>
      <c r="K4" s="38"/>
      <c r="L4" s="38"/>
      <c r="M4" s="38"/>
      <c r="N4" s="38"/>
      <c r="O4" s="38"/>
      <c r="P4" s="38"/>
      <c r="Q4" s="44"/>
      <c r="R4" s="44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3" t="s">
        <v>30</v>
      </c>
      <c r="B5" s="58"/>
      <c r="C5" s="58"/>
      <c r="D5" s="58"/>
      <c r="E5" s="34">
        <v>0.0</v>
      </c>
      <c r="F5" s="35">
        <v>0.0</v>
      </c>
      <c r="G5" s="35">
        <v>0.0</v>
      </c>
      <c r="H5" s="62"/>
      <c r="I5" s="62"/>
      <c r="J5" s="38"/>
      <c r="K5" s="38"/>
      <c r="L5" s="38"/>
      <c r="M5" s="38"/>
      <c r="N5" s="38"/>
      <c r="O5" s="38"/>
      <c r="P5" s="38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3" t="s">
        <v>32</v>
      </c>
      <c r="B6" s="36"/>
      <c r="C6" s="36"/>
      <c r="D6" s="36"/>
      <c r="E6" s="34">
        <v>0.0</v>
      </c>
      <c r="F6" s="34">
        <v>0.0</v>
      </c>
      <c r="G6" s="34">
        <v>0.0</v>
      </c>
      <c r="H6" s="57"/>
      <c r="I6" s="62"/>
      <c r="J6" s="38"/>
      <c r="K6" s="38"/>
      <c r="L6" s="38"/>
      <c r="M6" s="38"/>
      <c r="N6" s="38"/>
      <c r="O6" s="38"/>
      <c r="P6" s="38"/>
      <c r="Q6" s="44"/>
      <c r="R6" s="44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3" t="s">
        <v>35</v>
      </c>
      <c r="B7" s="58"/>
      <c r="C7" s="58"/>
      <c r="D7" s="58"/>
      <c r="E7" s="34">
        <v>0.0</v>
      </c>
      <c r="F7" s="35">
        <v>0.0</v>
      </c>
      <c r="G7" s="35">
        <v>0.0</v>
      </c>
      <c r="H7" s="62"/>
      <c r="I7" s="62"/>
      <c r="J7" s="38"/>
      <c r="K7" s="38"/>
      <c r="L7" s="38"/>
      <c r="M7" s="38"/>
      <c r="N7" s="38"/>
      <c r="O7" s="38"/>
      <c r="P7" s="38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40" t="s">
        <v>31</v>
      </c>
      <c r="B8" s="36">
        <v>5.0</v>
      </c>
      <c r="C8" s="36">
        <v>5.0</v>
      </c>
      <c r="D8" s="36"/>
      <c r="E8" s="34">
        <v>37.0</v>
      </c>
      <c r="F8" s="34">
        <v>25.0</v>
      </c>
      <c r="G8" s="34">
        <v>41.0</v>
      </c>
      <c r="H8" s="57"/>
      <c r="I8" s="57"/>
      <c r="J8" s="38"/>
      <c r="K8" s="38"/>
      <c r="L8" s="38"/>
      <c r="M8" s="38"/>
      <c r="N8" s="38"/>
      <c r="O8" s="38"/>
      <c r="P8" s="38"/>
      <c r="Q8" s="44"/>
      <c r="R8" s="44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40" t="s">
        <v>36</v>
      </c>
      <c r="B9" s="36">
        <v>6.0</v>
      </c>
      <c r="C9" s="36">
        <v>2.0</v>
      </c>
      <c r="D9" s="36">
        <v>4.0</v>
      </c>
      <c r="E9" s="34">
        <v>55.0</v>
      </c>
      <c r="F9" s="34">
        <v>21.0</v>
      </c>
      <c r="G9" s="34">
        <v>45.0</v>
      </c>
      <c r="H9" s="62"/>
      <c r="I9" s="62"/>
      <c r="J9" s="38"/>
      <c r="K9" s="38"/>
      <c r="L9" s="38"/>
      <c r="M9" s="38"/>
      <c r="N9" s="36"/>
      <c r="O9" s="38"/>
      <c r="P9" s="38"/>
      <c r="Q9" s="56"/>
      <c r="R9" s="44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40" t="s">
        <v>24</v>
      </c>
      <c r="B10" s="36"/>
      <c r="C10" s="36"/>
      <c r="D10" s="36"/>
      <c r="E10" s="35"/>
      <c r="F10" s="35">
        <v>0.0</v>
      </c>
      <c r="G10" s="35">
        <v>0.0</v>
      </c>
      <c r="H10" s="39"/>
      <c r="I10" s="39"/>
      <c r="J10" s="38"/>
      <c r="K10" s="38"/>
      <c r="L10" s="38"/>
      <c r="M10" s="38"/>
      <c r="N10" s="38"/>
      <c r="O10" s="38"/>
      <c r="P10" s="38"/>
      <c r="Q10" s="44"/>
      <c r="R10" s="44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40" t="s">
        <v>26</v>
      </c>
      <c r="B11" s="36">
        <v>3.5</v>
      </c>
      <c r="C11" s="36">
        <v>1.0</v>
      </c>
      <c r="D11" s="36">
        <v>2.5</v>
      </c>
      <c r="E11" s="34">
        <v>27.0</v>
      </c>
      <c r="F11" s="34">
        <v>0.0</v>
      </c>
      <c r="G11" s="34">
        <v>0.0</v>
      </c>
      <c r="H11" s="39"/>
      <c r="I11" s="57"/>
      <c r="J11" s="38"/>
      <c r="K11" s="38"/>
      <c r="L11" s="38"/>
      <c r="M11" s="38"/>
      <c r="N11" s="36"/>
      <c r="O11" s="38"/>
      <c r="P11" s="38"/>
      <c r="Q11" s="56"/>
      <c r="R11" s="44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40" t="s">
        <v>42</v>
      </c>
      <c r="B12" s="36">
        <v>1.0</v>
      </c>
      <c r="C12" s="36">
        <v>1.0</v>
      </c>
      <c r="D12" s="36"/>
      <c r="E12" s="34">
        <v>32.0</v>
      </c>
      <c r="F12" s="34">
        <v>3.0</v>
      </c>
      <c r="G12" s="34">
        <v>3.0</v>
      </c>
      <c r="H12" s="39"/>
      <c r="I12" s="39"/>
      <c r="J12" s="38"/>
      <c r="K12" s="38"/>
      <c r="L12" s="38"/>
      <c r="M12" s="38"/>
      <c r="N12" s="38"/>
      <c r="O12" s="38"/>
      <c r="P12" s="38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3" t="s">
        <v>43</v>
      </c>
      <c r="B13" s="43"/>
      <c r="C13" s="43"/>
      <c r="D13" s="43"/>
      <c r="E13" s="34">
        <v>6.0</v>
      </c>
      <c r="F13" s="35">
        <v>1.0</v>
      </c>
      <c r="G13" s="35">
        <v>2.0</v>
      </c>
      <c r="H13" s="62"/>
      <c r="I13" s="62"/>
      <c r="J13" s="38"/>
      <c r="K13" s="38"/>
      <c r="L13" s="38"/>
      <c r="M13" s="38"/>
      <c r="N13" s="38"/>
      <c r="O13" s="38"/>
      <c r="P13" s="38"/>
      <c r="Q13" s="44"/>
      <c r="R13" s="44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3" t="s">
        <v>40</v>
      </c>
      <c r="B14" s="36"/>
      <c r="C14" s="38"/>
      <c r="D14" s="36"/>
      <c r="E14" s="34">
        <v>15.0</v>
      </c>
      <c r="F14" s="34">
        <v>3.0</v>
      </c>
      <c r="G14" s="34">
        <v>6.0</v>
      </c>
      <c r="H14" s="62"/>
      <c r="I14" s="62"/>
      <c r="J14" s="38"/>
      <c r="K14" s="38"/>
      <c r="L14" s="38"/>
      <c r="M14" s="38"/>
      <c r="N14" s="36"/>
      <c r="O14" s="38"/>
      <c r="P14" s="38"/>
      <c r="Q14" s="56"/>
      <c r="R14" s="44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3" t="s">
        <v>39</v>
      </c>
      <c r="B15" s="36"/>
      <c r="C15" s="36"/>
      <c r="D15" s="36"/>
      <c r="E15" s="34"/>
      <c r="F15" s="34">
        <v>0.0</v>
      </c>
      <c r="G15" s="34">
        <v>0.0</v>
      </c>
      <c r="H15" s="57"/>
      <c r="I15" s="39"/>
      <c r="J15" s="38"/>
      <c r="K15" s="38"/>
      <c r="L15" s="38"/>
      <c r="M15" s="38"/>
      <c r="N15" s="36"/>
      <c r="O15" s="38"/>
      <c r="P15" s="38"/>
      <c r="Q15" s="44"/>
      <c r="R15" s="44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40" t="s">
        <v>37</v>
      </c>
      <c r="B16" s="36">
        <v>1.0</v>
      </c>
      <c r="C16" s="36">
        <v>1.0</v>
      </c>
      <c r="D16" s="38"/>
      <c r="E16" s="34">
        <v>30.0</v>
      </c>
      <c r="F16" s="34">
        <v>16.0</v>
      </c>
      <c r="G16" s="34">
        <v>17.0</v>
      </c>
      <c r="H16" s="57"/>
      <c r="I16" s="57"/>
      <c r="J16" s="38"/>
      <c r="K16" s="38"/>
      <c r="L16" s="38"/>
      <c r="M16" s="38"/>
      <c r="N16" s="38"/>
      <c r="O16" s="38"/>
      <c r="P16" s="38"/>
      <c r="Q16" s="44"/>
      <c r="R16" s="44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73" t="s">
        <v>33</v>
      </c>
      <c r="B17" s="38"/>
      <c r="C17" s="38"/>
      <c r="D17" s="38"/>
      <c r="E17" s="34">
        <v>3.0</v>
      </c>
      <c r="F17" s="34">
        <v>1.0</v>
      </c>
      <c r="G17" s="34">
        <v>1.0</v>
      </c>
      <c r="H17" s="62"/>
      <c r="I17" s="62"/>
      <c r="J17" s="38"/>
      <c r="K17" s="38"/>
      <c r="L17" s="38"/>
      <c r="M17" s="38"/>
      <c r="N17" s="38"/>
      <c r="O17" s="38"/>
      <c r="P17" s="38"/>
      <c r="Q17" s="44"/>
      <c r="R17" s="44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40" t="s">
        <v>41</v>
      </c>
      <c r="B18" s="36">
        <v>1.0</v>
      </c>
      <c r="C18" s="36"/>
      <c r="D18" s="36">
        <v>1.0</v>
      </c>
      <c r="E18" s="34">
        <v>52.0</v>
      </c>
      <c r="F18" s="34">
        <v>0.0</v>
      </c>
      <c r="G18" s="34">
        <v>0.0</v>
      </c>
      <c r="H18" s="62"/>
      <c r="I18" s="62"/>
      <c r="J18" s="38"/>
      <c r="K18" s="38"/>
      <c r="L18" s="38"/>
      <c r="M18" s="38"/>
      <c r="N18" s="38"/>
      <c r="O18" s="38"/>
      <c r="P18" s="38"/>
      <c r="Q18" s="44"/>
      <c r="R18" s="44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40" t="s">
        <v>28</v>
      </c>
      <c r="B19" s="36">
        <v>2.0</v>
      </c>
      <c r="C19" s="36">
        <v>2.0</v>
      </c>
      <c r="D19" s="36"/>
      <c r="E19" s="34">
        <v>47.0</v>
      </c>
      <c r="F19" s="34">
        <v>6.0</v>
      </c>
      <c r="G19" s="34">
        <v>7.0</v>
      </c>
      <c r="H19" s="57"/>
      <c r="I19" s="57"/>
      <c r="J19" s="38"/>
      <c r="K19" s="38"/>
      <c r="L19" s="38"/>
      <c r="M19" s="38"/>
      <c r="N19" s="38"/>
      <c r="O19" s="38"/>
      <c r="P19" s="38"/>
      <c r="Q19" s="44"/>
      <c r="R19" s="44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40" t="s">
        <v>49</v>
      </c>
      <c r="B20" s="43">
        <v>3.0</v>
      </c>
      <c r="C20" s="43">
        <v>1.0</v>
      </c>
      <c r="D20" s="43">
        <v>2.0</v>
      </c>
      <c r="E20" s="34">
        <v>30.0</v>
      </c>
      <c r="F20" s="35">
        <v>21.0</v>
      </c>
      <c r="G20" s="35">
        <v>42.0</v>
      </c>
      <c r="H20" s="62"/>
      <c r="I20" s="62"/>
      <c r="J20" s="38"/>
      <c r="K20" s="38"/>
      <c r="L20" s="38"/>
      <c r="M20" s="38"/>
      <c r="N20" s="38"/>
      <c r="O20" s="38"/>
      <c r="P20" s="38"/>
      <c r="Q20" s="44"/>
      <c r="R20" s="44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40" t="s">
        <v>47</v>
      </c>
      <c r="B21" s="43">
        <v>1.0</v>
      </c>
      <c r="C21" s="43"/>
      <c r="D21" s="43">
        <v>1.0</v>
      </c>
      <c r="E21" s="34">
        <v>3.0</v>
      </c>
      <c r="F21" s="35">
        <v>0.0</v>
      </c>
      <c r="G21" s="35">
        <v>0.0</v>
      </c>
      <c r="H21" s="62"/>
      <c r="I21" s="62"/>
      <c r="J21" s="38"/>
      <c r="K21" s="38"/>
      <c r="L21" s="38"/>
      <c r="M21" s="38"/>
      <c r="N21" s="38"/>
      <c r="O21" s="38"/>
      <c r="P21" s="38"/>
      <c r="Q21" s="44"/>
      <c r="R21" s="44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40" t="s">
        <v>38</v>
      </c>
      <c r="B22" s="36">
        <v>8.0</v>
      </c>
      <c r="C22" s="36">
        <v>1.0</v>
      </c>
      <c r="D22" s="36">
        <v>7.0</v>
      </c>
      <c r="E22" s="34">
        <v>60.0</v>
      </c>
      <c r="F22" s="34">
        <v>10.0</v>
      </c>
      <c r="G22" s="34">
        <v>17.0</v>
      </c>
      <c r="H22" s="57"/>
      <c r="I22" s="62"/>
      <c r="J22" s="38"/>
      <c r="K22" s="38"/>
      <c r="L22" s="38"/>
      <c r="M22" s="38"/>
      <c r="N22" s="38"/>
      <c r="O22" s="38"/>
      <c r="P22" s="38"/>
      <c r="Q22" s="44"/>
      <c r="R22" s="44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40" t="s">
        <v>55</v>
      </c>
      <c r="B23" s="43">
        <v>1.0</v>
      </c>
      <c r="C23" s="43"/>
      <c r="D23" s="43">
        <v>1.0</v>
      </c>
      <c r="E23" s="33">
        <v>33.0</v>
      </c>
      <c r="F23" s="72">
        <v>3.0</v>
      </c>
      <c r="G23" s="72">
        <v>3.0</v>
      </c>
      <c r="H23" s="59"/>
      <c r="I23" s="59"/>
      <c r="J23" s="38"/>
      <c r="K23" s="38"/>
      <c r="L23" s="38"/>
      <c r="M23" s="38"/>
      <c r="N23" s="38"/>
      <c r="O23" s="38"/>
      <c r="P23" s="38"/>
      <c r="Q23" s="44"/>
      <c r="R23" s="44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40" t="s">
        <v>34</v>
      </c>
      <c r="B24" s="36">
        <v>1.0</v>
      </c>
      <c r="C24" s="36"/>
      <c r="D24" s="36">
        <v>1.0</v>
      </c>
      <c r="E24" s="34">
        <v>27.0</v>
      </c>
      <c r="F24" s="34">
        <v>9.0</v>
      </c>
      <c r="G24" s="34">
        <v>16.0</v>
      </c>
      <c r="H24" s="57"/>
      <c r="I24" s="39"/>
      <c r="J24" s="38"/>
      <c r="K24" s="38"/>
      <c r="L24" s="38"/>
      <c r="M24" s="38"/>
      <c r="N24" s="38"/>
      <c r="O24" s="38"/>
      <c r="P24" s="38"/>
      <c r="Q24" s="44"/>
      <c r="R24" s="44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73" t="s">
        <v>29</v>
      </c>
      <c r="B25" s="36"/>
      <c r="C25" s="36"/>
      <c r="D25" s="36"/>
      <c r="E25" s="34">
        <v>17.0</v>
      </c>
      <c r="F25" s="34">
        <v>0.0</v>
      </c>
      <c r="G25" s="34">
        <v>0.0</v>
      </c>
      <c r="H25" s="39"/>
      <c r="I25" s="57"/>
      <c r="J25" s="59"/>
      <c r="K25" s="59"/>
      <c r="L25" s="59"/>
      <c r="M25" s="59"/>
      <c r="N25" s="59"/>
      <c r="O25" s="59"/>
      <c r="P25" s="59"/>
      <c r="Q25" s="59"/>
      <c r="R25" s="59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40" t="s">
        <v>46</v>
      </c>
      <c r="B26" s="43">
        <v>2.0</v>
      </c>
      <c r="C26" s="43"/>
      <c r="D26" s="43">
        <v>2.0</v>
      </c>
      <c r="E26" s="34">
        <v>4.0</v>
      </c>
      <c r="F26" s="34">
        <v>0.0</v>
      </c>
      <c r="G26" s="34">
        <v>0.0</v>
      </c>
      <c r="H26" s="62"/>
      <c r="I26" s="62"/>
      <c r="J26" s="59"/>
      <c r="K26" s="59"/>
      <c r="L26" s="59"/>
      <c r="M26" s="59"/>
      <c r="N26" s="59"/>
      <c r="O26" s="59"/>
      <c r="P26" s="59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8"/>
      <c r="B27" s="79">
        <f>SUM(Table1_3[Column 2])</f>
        <v>39.5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SUM(E3:E25)</f>
        <v>543</v>
      </c>
      <c r="F1" s="1">
        <f t="shared" si="1"/>
        <v>79</v>
      </c>
      <c r="G1" s="1">
        <f t="shared" si="1"/>
        <v>124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1" t="s">
        <v>9</v>
      </c>
      <c r="C2" s="24" t="s">
        <v>10</v>
      </c>
      <c r="D2" s="26" t="s">
        <v>11</v>
      </c>
      <c r="E2" s="23" t="s">
        <v>12</v>
      </c>
      <c r="F2" s="25" t="s">
        <v>13</v>
      </c>
      <c r="G2" s="23" t="s">
        <v>14</v>
      </c>
      <c r="H2" s="23" t="s">
        <v>15</v>
      </c>
      <c r="I2" s="23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40" t="s">
        <v>25</v>
      </c>
      <c r="B3" s="43">
        <v>1.0</v>
      </c>
      <c r="C3" s="73">
        <v>1.0</v>
      </c>
      <c r="D3" s="73"/>
      <c r="E3" s="74">
        <v>48.0</v>
      </c>
      <c r="F3" s="35">
        <v>5.0</v>
      </c>
      <c r="G3" s="35">
        <v>8.0</v>
      </c>
      <c r="H3" s="62"/>
      <c r="I3" s="62"/>
      <c r="J3" s="38"/>
      <c r="K3" s="38"/>
      <c r="L3" s="38"/>
      <c r="M3" s="38"/>
      <c r="N3" s="38"/>
      <c r="O3" s="38"/>
      <c r="P3" s="38"/>
      <c r="Q3" s="44"/>
      <c r="R3" s="44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73" t="s">
        <v>27</v>
      </c>
      <c r="B4" s="43"/>
      <c r="C4" s="43"/>
      <c r="D4" s="58"/>
      <c r="E4" s="33">
        <v>39.0</v>
      </c>
      <c r="F4" s="72">
        <v>5.0</v>
      </c>
      <c r="G4" s="72">
        <v>5.0</v>
      </c>
      <c r="H4" s="59"/>
      <c r="I4" s="59"/>
      <c r="J4" s="38"/>
      <c r="K4" s="38"/>
      <c r="L4" s="38"/>
      <c r="M4" s="38"/>
      <c r="N4" s="38"/>
      <c r="O4" s="38"/>
      <c r="P4" s="38"/>
      <c r="Q4" s="44"/>
      <c r="R4" s="44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3" t="s">
        <v>30</v>
      </c>
      <c r="B5" s="58"/>
      <c r="C5" s="58"/>
      <c r="D5" s="58"/>
      <c r="E5" s="34"/>
      <c r="F5" s="35">
        <v>0.0</v>
      </c>
      <c r="G5" s="35">
        <v>0.0</v>
      </c>
      <c r="H5" s="62"/>
      <c r="I5" s="62"/>
      <c r="J5" s="38"/>
      <c r="K5" s="38"/>
      <c r="L5" s="38"/>
      <c r="M5" s="38"/>
      <c r="N5" s="38"/>
      <c r="O5" s="38"/>
      <c r="P5" s="38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3" t="s">
        <v>32</v>
      </c>
      <c r="B6" s="58"/>
      <c r="C6" s="36"/>
      <c r="D6" s="36"/>
      <c r="E6" s="34"/>
      <c r="F6" s="34">
        <v>0.0</v>
      </c>
      <c r="G6" s="34">
        <v>0.0</v>
      </c>
      <c r="H6" s="57"/>
      <c r="I6" s="62"/>
      <c r="J6" s="38"/>
      <c r="K6" s="38"/>
      <c r="L6" s="38"/>
      <c r="M6" s="38"/>
      <c r="N6" s="38"/>
      <c r="O6" s="38"/>
      <c r="P6" s="38"/>
      <c r="Q6" s="44"/>
      <c r="R6" s="44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3" t="s">
        <v>35</v>
      </c>
      <c r="B7" s="58"/>
      <c r="C7" s="58"/>
      <c r="D7" s="58"/>
      <c r="E7" s="34"/>
      <c r="F7" s="35">
        <v>0.0</v>
      </c>
      <c r="G7" s="35">
        <v>0.0</v>
      </c>
      <c r="H7" s="62"/>
      <c r="I7" s="62"/>
      <c r="J7" s="38"/>
      <c r="K7" s="38"/>
      <c r="L7" s="38"/>
      <c r="M7" s="38"/>
      <c r="N7" s="38"/>
      <c r="O7" s="38"/>
      <c r="P7" s="38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40" t="s">
        <v>31</v>
      </c>
      <c r="B8" s="43">
        <v>1.0</v>
      </c>
      <c r="C8" s="36"/>
      <c r="D8" s="36">
        <v>1.0</v>
      </c>
      <c r="E8" s="34">
        <v>48.0</v>
      </c>
      <c r="F8" s="34">
        <v>2.0</v>
      </c>
      <c r="G8" s="34">
        <v>7.0</v>
      </c>
      <c r="H8" s="57"/>
      <c r="I8" s="57"/>
      <c r="J8" s="38"/>
      <c r="K8" s="38"/>
      <c r="L8" s="38"/>
      <c r="M8" s="38"/>
      <c r="N8" s="38"/>
      <c r="O8" s="38"/>
      <c r="P8" s="38"/>
      <c r="Q8" s="44"/>
      <c r="R8" s="44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40" t="s">
        <v>36</v>
      </c>
      <c r="B9" s="43">
        <v>3.0</v>
      </c>
      <c r="C9" s="36">
        <v>2.0</v>
      </c>
      <c r="D9" s="36">
        <v>1.0</v>
      </c>
      <c r="E9" s="34">
        <v>50.0</v>
      </c>
      <c r="F9" s="34">
        <v>8.0</v>
      </c>
      <c r="G9" s="34">
        <v>14.0</v>
      </c>
      <c r="H9" s="62"/>
      <c r="I9" s="62"/>
      <c r="J9" s="38"/>
      <c r="K9" s="38"/>
      <c r="L9" s="38"/>
      <c r="M9" s="38"/>
      <c r="N9" s="36"/>
      <c r="O9" s="38"/>
      <c r="P9" s="38"/>
      <c r="Q9" s="56"/>
      <c r="R9" s="44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40" t="s">
        <v>24</v>
      </c>
      <c r="B10" s="43">
        <v>3.0</v>
      </c>
      <c r="C10" s="36">
        <v>2.0</v>
      </c>
      <c r="D10" s="36">
        <v>3.0</v>
      </c>
      <c r="E10" s="35"/>
      <c r="F10" s="35">
        <v>0.0</v>
      </c>
      <c r="G10" s="35">
        <v>0.0</v>
      </c>
      <c r="H10" s="39"/>
      <c r="I10" s="39"/>
      <c r="J10" s="38"/>
      <c r="K10" s="38"/>
      <c r="L10" s="38"/>
      <c r="M10" s="38"/>
      <c r="N10" s="38"/>
      <c r="O10" s="38"/>
      <c r="P10" s="38"/>
      <c r="Q10" s="44"/>
      <c r="R10" s="44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40" t="s">
        <v>26</v>
      </c>
      <c r="B11" s="43">
        <v>4.0</v>
      </c>
      <c r="C11" s="36">
        <v>2.0</v>
      </c>
      <c r="D11" s="36">
        <v>4.0</v>
      </c>
      <c r="E11" s="34">
        <v>46.0</v>
      </c>
      <c r="F11" s="34">
        <v>2.0</v>
      </c>
      <c r="G11" s="34">
        <v>6.0</v>
      </c>
      <c r="H11" s="39"/>
      <c r="I11" s="57"/>
      <c r="J11" s="38"/>
      <c r="K11" s="38"/>
      <c r="L11" s="38"/>
      <c r="M11" s="38"/>
      <c r="N11" s="36"/>
      <c r="O11" s="38"/>
      <c r="P11" s="38"/>
      <c r="Q11" s="56"/>
      <c r="R11" s="44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40" t="s">
        <v>42</v>
      </c>
      <c r="B12" s="43">
        <v>1.0</v>
      </c>
      <c r="C12" s="36">
        <v>1.0</v>
      </c>
      <c r="D12" s="36"/>
      <c r="E12" s="34">
        <v>55.0</v>
      </c>
      <c r="F12" s="34">
        <v>10.0</v>
      </c>
      <c r="G12" s="34">
        <v>13.0</v>
      </c>
      <c r="H12" s="39"/>
      <c r="I12" s="39"/>
      <c r="J12" s="38"/>
      <c r="K12" s="38"/>
      <c r="L12" s="38"/>
      <c r="M12" s="38"/>
      <c r="N12" s="38"/>
      <c r="O12" s="38"/>
      <c r="P12" s="38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3" t="s">
        <v>43</v>
      </c>
      <c r="B13" s="58"/>
      <c r="C13" s="43"/>
      <c r="D13" s="43"/>
      <c r="E13" s="34"/>
      <c r="F13" s="35">
        <v>1.0</v>
      </c>
      <c r="G13" s="35">
        <v>1.0</v>
      </c>
      <c r="H13" s="62"/>
      <c r="I13" s="62"/>
      <c r="J13" s="38"/>
      <c r="K13" s="38"/>
      <c r="L13" s="38"/>
      <c r="M13" s="38"/>
      <c r="N13" s="38"/>
      <c r="O13" s="38"/>
      <c r="P13" s="38"/>
      <c r="Q13" s="44"/>
      <c r="R13" s="44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3" t="s">
        <v>40</v>
      </c>
      <c r="B14" s="58"/>
      <c r="C14" s="38"/>
      <c r="D14" s="36"/>
      <c r="E14" s="34">
        <v>9.0</v>
      </c>
      <c r="F14" s="34">
        <v>2.0</v>
      </c>
      <c r="G14" s="34">
        <v>3.0</v>
      </c>
      <c r="H14" s="62"/>
      <c r="I14" s="62"/>
      <c r="J14" s="38"/>
      <c r="K14" s="38"/>
      <c r="L14" s="38"/>
      <c r="M14" s="38"/>
      <c r="N14" s="36"/>
      <c r="O14" s="38"/>
      <c r="P14" s="38"/>
      <c r="Q14" s="56"/>
      <c r="R14" s="44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3" t="s">
        <v>39</v>
      </c>
      <c r="B15" s="58"/>
      <c r="C15" s="36"/>
      <c r="D15" s="36"/>
      <c r="E15" s="34"/>
      <c r="F15" s="34">
        <v>0.0</v>
      </c>
      <c r="G15" s="34">
        <v>0.0</v>
      </c>
      <c r="H15" s="57"/>
      <c r="I15" s="39"/>
      <c r="J15" s="38"/>
      <c r="K15" s="38"/>
      <c r="L15" s="38"/>
      <c r="M15" s="38"/>
      <c r="N15" s="36"/>
      <c r="O15" s="38"/>
      <c r="P15" s="38"/>
      <c r="Q15" s="44"/>
      <c r="R15" s="44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40" t="s">
        <v>57</v>
      </c>
      <c r="B16" s="43">
        <v>2.0</v>
      </c>
      <c r="C16" s="36">
        <v>1.0</v>
      </c>
      <c r="D16" s="36">
        <v>1.0</v>
      </c>
      <c r="E16" s="34">
        <v>12.0</v>
      </c>
      <c r="F16" s="34">
        <v>0.0</v>
      </c>
      <c r="G16" s="34">
        <v>0.0</v>
      </c>
      <c r="H16" s="57"/>
      <c r="I16" s="57"/>
      <c r="J16" s="38"/>
      <c r="K16" s="38"/>
      <c r="L16" s="38"/>
      <c r="M16" s="38"/>
      <c r="N16" s="38"/>
      <c r="O16" s="38"/>
      <c r="P16" s="38"/>
      <c r="Q16" s="44"/>
      <c r="R16" s="44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40" t="s">
        <v>37</v>
      </c>
      <c r="B17" s="43">
        <v>3.0</v>
      </c>
      <c r="C17" s="36">
        <v>2.0</v>
      </c>
      <c r="D17" s="36">
        <v>1.0</v>
      </c>
      <c r="E17" s="34">
        <v>12.0</v>
      </c>
      <c r="F17" s="34">
        <v>15.0</v>
      </c>
      <c r="G17" s="34">
        <v>20.0</v>
      </c>
      <c r="H17" s="57"/>
      <c r="I17" s="57"/>
      <c r="J17" s="38"/>
      <c r="K17" s="38"/>
      <c r="L17" s="38"/>
      <c r="M17" s="38"/>
      <c r="N17" s="38"/>
      <c r="O17" s="38"/>
      <c r="P17" s="38"/>
      <c r="Q17" s="44"/>
      <c r="R17" s="44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73" t="s">
        <v>33</v>
      </c>
      <c r="B18" s="58"/>
      <c r="C18" s="38"/>
      <c r="D18" s="38"/>
      <c r="E18" s="34"/>
      <c r="F18" s="34">
        <v>0.0</v>
      </c>
      <c r="G18" s="34">
        <v>0.0</v>
      </c>
      <c r="H18" s="62"/>
      <c r="I18" s="62"/>
      <c r="J18" s="38"/>
      <c r="K18" s="38"/>
      <c r="L18" s="38"/>
      <c r="M18" s="38"/>
      <c r="N18" s="38"/>
      <c r="O18" s="38"/>
      <c r="P18" s="38"/>
      <c r="Q18" s="44"/>
      <c r="R18" s="44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40" t="s">
        <v>41</v>
      </c>
      <c r="B19" s="43">
        <v>4.0</v>
      </c>
      <c r="C19" s="36">
        <v>1.0</v>
      </c>
      <c r="D19" s="36">
        <v>3.0</v>
      </c>
      <c r="E19" s="34">
        <v>45.0</v>
      </c>
      <c r="F19" s="34">
        <v>0.0</v>
      </c>
      <c r="G19" s="34">
        <v>0.0</v>
      </c>
      <c r="H19" s="62"/>
      <c r="I19" s="62"/>
      <c r="J19" s="38"/>
      <c r="K19" s="38"/>
      <c r="L19" s="38"/>
      <c r="M19" s="38"/>
      <c r="N19" s="38"/>
      <c r="O19" s="38"/>
      <c r="P19" s="38"/>
      <c r="Q19" s="44"/>
      <c r="R19" s="44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73" t="s">
        <v>28</v>
      </c>
      <c r="B20" s="58"/>
      <c r="C20" s="36"/>
      <c r="D20" s="36"/>
      <c r="E20" s="34">
        <v>41.0</v>
      </c>
      <c r="F20" s="34">
        <v>5.0</v>
      </c>
      <c r="G20" s="34">
        <v>5.0</v>
      </c>
      <c r="H20" s="57"/>
      <c r="I20" s="57"/>
      <c r="J20" s="38"/>
      <c r="K20" s="38"/>
      <c r="L20" s="38"/>
      <c r="M20" s="38"/>
      <c r="N20" s="38"/>
      <c r="O20" s="38"/>
      <c r="P20" s="38"/>
      <c r="Q20" s="44"/>
      <c r="R20" s="44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40" t="s">
        <v>49</v>
      </c>
      <c r="B21" s="43">
        <v>3.0</v>
      </c>
      <c r="C21" s="43">
        <v>1.0</v>
      </c>
      <c r="D21" s="43">
        <v>2.0</v>
      </c>
      <c r="E21" s="34">
        <v>45.0</v>
      </c>
      <c r="F21" s="35">
        <v>11.0</v>
      </c>
      <c r="G21" s="35">
        <v>20.0</v>
      </c>
      <c r="H21" s="62"/>
      <c r="I21" s="62"/>
      <c r="J21" s="38"/>
      <c r="K21" s="38"/>
      <c r="L21" s="38"/>
      <c r="M21" s="38"/>
      <c r="N21" s="38"/>
      <c r="O21" s="38"/>
      <c r="P21" s="38"/>
      <c r="Q21" s="44"/>
      <c r="R21" s="44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73" t="s">
        <v>47</v>
      </c>
      <c r="B22" s="58"/>
      <c r="C22" s="43"/>
      <c r="D22" s="43"/>
      <c r="E22" s="34"/>
      <c r="F22" s="35">
        <v>0.0</v>
      </c>
      <c r="G22" s="35">
        <v>0.0</v>
      </c>
      <c r="H22" s="62"/>
      <c r="I22" s="62"/>
      <c r="J22" s="38"/>
      <c r="K22" s="38"/>
      <c r="L22" s="38"/>
      <c r="M22" s="38"/>
      <c r="N22" s="38"/>
      <c r="O22" s="38"/>
      <c r="P22" s="38"/>
      <c r="Q22" s="44"/>
      <c r="R22" s="44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40" t="s">
        <v>38</v>
      </c>
      <c r="B23" s="43">
        <v>9.0</v>
      </c>
      <c r="C23" s="36">
        <v>4.0</v>
      </c>
      <c r="D23" s="36">
        <v>5.0</v>
      </c>
      <c r="E23" s="34">
        <v>41.0</v>
      </c>
      <c r="F23" s="34">
        <v>2.0</v>
      </c>
      <c r="G23" s="34">
        <v>5.0</v>
      </c>
      <c r="H23" s="57"/>
      <c r="I23" s="62"/>
      <c r="J23" s="38"/>
      <c r="K23" s="38"/>
      <c r="L23" s="38"/>
      <c r="M23" s="38"/>
      <c r="N23" s="38"/>
      <c r="O23" s="38"/>
      <c r="P23" s="38"/>
      <c r="Q23" s="44"/>
      <c r="R23" s="44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40" t="s">
        <v>55</v>
      </c>
      <c r="B24" s="43">
        <v>1.0</v>
      </c>
      <c r="C24" s="43"/>
      <c r="D24" s="43">
        <v>1.0</v>
      </c>
      <c r="E24" s="33">
        <v>17.0</v>
      </c>
      <c r="F24" s="72">
        <v>1.0</v>
      </c>
      <c r="G24" s="72">
        <v>1.0</v>
      </c>
      <c r="H24" s="59"/>
      <c r="I24" s="59"/>
      <c r="J24" s="38"/>
      <c r="K24" s="38"/>
      <c r="L24" s="38"/>
      <c r="M24" s="38"/>
      <c r="N24" s="38"/>
      <c r="O24" s="38"/>
      <c r="P24" s="38"/>
      <c r="Q24" s="44"/>
      <c r="R24" s="44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40" t="s">
        <v>34</v>
      </c>
      <c r="B25" s="43">
        <v>2.0</v>
      </c>
      <c r="C25" s="36">
        <v>3.0</v>
      </c>
      <c r="D25" s="36"/>
      <c r="E25" s="34">
        <v>35.0</v>
      </c>
      <c r="F25" s="34">
        <v>10.0</v>
      </c>
      <c r="G25" s="34">
        <v>16.0</v>
      </c>
      <c r="H25" s="57"/>
      <c r="I25" s="39"/>
      <c r="J25" s="38"/>
      <c r="K25" s="38"/>
      <c r="L25" s="38"/>
      <c r="M25" s="38"/>
      <c r="N25" s="38"/>
      <c r="O25" s="38"/>
      <c r="P25" s="38"/>
      <c r="Q25" s="44"/>
      <c r="R25" s="44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73" t="s">
        <v>29</v>
      </c>
      <c r="B26" s="58"/>
      <c r="C26" s="36"/>
      <c r="D26" s="36"/>
      <c r="E26" s="34">
        <v>10.0</v>
      </c>
      <c r="F26" s="34">
        <v>0.0</v>
      </c>
      <c r="G26" s="34">
        <v>0.0</v>
      </c>
      <c r="H26" s="39"/>
      <c r="I26" s="57"/>
      <c r="J26" s="59"/>
      <c r="K26" s="59"/>
      <c r="L26" s="59"/>
      <c r="M26" s="59"/>
      <c r="N26" s="59"/>
      <c r="O26" s="59"/>
      <c r="P26" s="59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40" t="s">
        <v>46</v>
      </c>
      <c r="B27" s="43">
        <v>1.0</v>
      </c>
      <c r="C27" s="43"/>
      <c r="D27" s="43">
        <v>1.0</v>
      </c>
      <c r="E27" s="34">
        <v>19.0</v>
      </c>
      <c r="F27" s="34">
        <v>0.0</v>
      </c>
      <c r="G27" s="34">
        <v>0.0</v>
      </c>
      <c r="H27" s="62"/>
      <c r="I27" s="62"/>
      <c r="J27" s="59"/>
      <c r="K27" s="59"/>
      <c r="L27" s="59"/>
      <c r="M27" s="59"/>
      <c r="N27" s="59"/>
      <c r="O27" s="59"/>
      <c r="P27" s="59"/>
      <c r="Q27" s="59"/>
      <c r="R27" s="59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ht="22.5" customHeight="1">
      <c r="A28" s="40" t="s">
        <v>58</v>
      </c>
      <c r="B28" s="43">
        <v>1.0</v>
      </c>
      <c r="C28" s="43"/>
      <c r="D28" s="43">
        <v>1.0</v>
      </c>
      <c r="E28" s="34"/>
      <c r="F28" s="34">
        <v>0.0</v>
      </c>
      <c r="G28" s="34">
        <v>0.0</v>
      </c>
      <c r="H28" s="62"/>
      <c r="I28" s="62"/>
      <c r="J28" s="59"/>
      <c r="K28" s="59"/>
      <c r="L28" s="59"/>
      <c r="M28" s="59"/>
      <c r="N28" s="59"/>
      <c r="O28" s="59"/>
      <c r="P28" s="59"/>
      <c r="Q28" s="59"/>
      <c r="R28" s="59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ht="22.5" customHeight="1">
      <c r="A29" s="80"/>
      <c r="B29" s="79">
        <f>SUM(Table1_7[Column 2])</f>
        <v>39</v>
      </c>
      <c r="C29" s="79"/>
      <c r="D29" s="79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0.5"/>
    <col customWidth="1" min="2" max="2" width="18.25"/>
    <col customWidth="1" min="5" max="5" width="13.63"/>
    <col customWidth="1" min="6" max="6" width="17.38"/>
    <col customWidth="1" min="7" max="7" width="17.75"/>
    <col customWidth="1" min="8" max="8" width="18.88"/>
    <col customWidth="1" min="9" max="9" width="17.5"/>
  </cols>
  <sheetData>
    <row r="1">
      <c r="A1" s="81" t="s">
        <v>0</v>
      </c>
      <c r="B1" s="1">
        <f t="shared" ref="B1:E1" si="1">SUM(B3:B23)</f>
        <v>20</v>
      </c>
      <c r="C1" s="1">
        <f t="shared" si="1"/>
        <v>4</v>
      </c>
      <c r="D1" s="1">
        <f t="shared" si="1"/>
        <v>17</v>
      </c>
      <c r="E1" s="1">
        <f t="shared" si="1"/>
        <v>397</v>
      </c>
      <c r="F1" s="1">
        <f t="shared" ref="F1:G1" si="2">SUM(F3:F28)</f>
        <v>94</v>
      </c>
      <c r="G1" s="1">
        <f t="shared" si="2"/>
        <v>158</v>
      </c>
      <c r="H1" s="7">
        <f t="shared" ref="H1:I1" si="3">SUM(H3:H23)</f>
        <v>0</v>
      </c>
      <c r="I1" s="7">
        <f t="shared" si="3"/>
        <v>0</v>
      </c>
      <c r="J1" s="16"/>
      <c r="K1" s="16"/>
      <c r="L1" s="16"/>
      <c r="M1" s="16"/>
      <c r="N1" s="16"/>
      <c r="O1" s="16"/>
      <c r="P1" s="16"/>
      <c r="Q1" s="16"/>
    </row>
    <row r="2" ht="22.5" customHeight="1">
      <c r="A2" s="2" t="s">
        <v>8</v>
      </c>
      <c r="B2" s="2" t="s">
        <v>9</v>
      </c>
      <c r="C2" s="2" t="s">
        <v>10</v>
      </c>
      <c r="D2" s="82" t="s">
        <v>11</v>
      </c>
      <c r="E2" s="82" t="s">
        <v>12</v>
      </c>
      <c r="F2" s="83" t="s">
        <v>13</v>
      </c>
      <c r="G2" s="82" t="s">
        <v>14</v>
      </c>
      <c r="H2" s="82" t="s">
        <v>15</v>
      </c>
      <c r="I2" s="82" t="s">
        <v>16</v>
      </c>
      <c r="J2" s="16"/>
      <c r="K2" s="16"/>
      <c r="L2" s="16"/>
      <c r="M2" s="16"/>
      <c r="N2" s="16"/>
      <c r="O2" s="16"/>
      <c r="P2" s="16"/>
      <c r="Q2" s="16"/>
    </row>
    <row r="3" ht="22.5" customHeight="1">
      <c r="A3" s="40" t="s">
        <v>25</v>
      </c>
      <c r="B3" s="36">
        <v>2.0</v>
      </c>
      <c r="C3" s="73"/>
      <c r="D3" s="73">
        <v>2.0</v>
      </c>
      <c r="E3" s="73">
        <v>51.0</v>
      </c>
      <c r="F3" s="84">
        <v>3.0</v>
      </c>
      <c r="G3" s="84">
        <v>5.0</v>
      </c>
      <c r="H3" s="85"/>
      <c r="I3" s="85"/>
      <c r="J3" s="16"/>
      <c r="K3" s="16"/>
      <c r="L3" s="16"/>
      <c r="M3" s="16"/>
      <c r="N3" s="16"/>
      <c r="O3" s="16"/>
      <c r="P3" s="16"/>
      <c r="Q3" s="16"/>
    </row>
    <row r="4" ht="22.5" customHeight="1">
      <c r="A4" s="73" t="s">
        <v>27</v>
      </c>
      <c r="B4" s="36"/>
      <c r="C4" s="36"/>
      <c r="D4" s="38"/>
      <c r="E4" s="36">
        <v>29.0</v>
      </c>
      <c r="F4" s="86">
        <v>2.0</v>
      </c>
      <c r="G4" s="86">
        <v>2.0</v>
      </c>
      <c r="H4" s="38"/>
      <c r="I4" s="38"/>
      <c r="J4" s="16"/>
      <c r="K4" s="16"/>
      <c r="L4" s="16"/>
      <c r="M4" s="16"/>
      <c r="N4" s="16"/>
      <c r="O4" s="16"/>
      <c r="P4" s="16"/>
      <c r="Q4" s="16"/>
    </row>
    <row r="5" ht="22.5" customHeight="1">
      <c r="A5" s="73" t="s">
        <v>30</v>
      </c>
      <c r="B5" s="38"/>
      <c r="C5" s="38"/>
      <c r="D5" s="38"/>
      <c r="E5" s="43">
        <v>0.0</v>
      </c>
      <c r="F5" s="84">
        <v>0.0</v>
      </c>
      <c r="G5" s="84">
        <v>0.0</v>
      </c>
      <c r="H5" s="85"/>
      <c r="I5" s="85"/>
      <c r="J5" s="16"/>
      <c r="K5" s="16"/>
      <c r="L5" s="16"/>
      <c r="M5" s="16"/>
      <c r="N5" s="16"/>
      <c r="O5" s="16"/>
      <c r="P5" s="16"/>
      <c r="Q5" s="16"/>
    </row>
    <row r="6" ht="22.5" customHeight="1">
      <c r="A6" s="73" t="s">
        <v>32</v>
      </c>
      <c r="B6" s="38"/>
      <c r="C6" s="36"/>
      <c r="D6" s="36"/>
      <c r="E6" s="43">
        <v>0.0</v>
      </c>
      <c r="F6" s="43">
        <v>0.0</v>
      </c>
      <c r="G6" s="43">
        <v>0.0</v>
      </c>
      <c r="H6" s="87"/>
      <c r="I6" s="85"/>
      <c r="J6" s="16"/>
      <c r="K6" s="16"/>
      <c r="L6" s="16"/>
      <c r="M6" s="16"/>
      <c r="N6" s="16"/>
      <c r="O6" s="16"/>
      <c r="P6" s="16"/>
      <c r="Q6" s="16"/>
    </row>
    <row r="7" ht="22.5" customHeight="1">
      <c r="A7" s="73" t="s">
        <v>59</v>
      </c>
      <c r="B7" s="36"/>
      <c r="C7" s="36"/>
      <c r="D7" s="36"/>
      <c r="E7" s="43">
        <v>0.0</v>
      </c>
      <c r="F7" s="43"/>
      <c r="G7" s="43"/>
      <c r="H7" s="87"/>
      <c r="I7" s="87"/>
      <c r="J7" s="16"/>
      <c r="K7" s="16"/>
      <c r="L7" s="16"/>
      <c r="M7" s="16"/>
      <c r="N7" s="16"/>
      <c r="O7" s="16"/>
      <c r="P7" s="16"/>
      <c r="Q7" s="16"/>
    </row>
    <row r="8" ht="22.5" customHeight="1">
      <c r="A8" s="73" t="s">
        <v>31</v>
      </c>
      <c r="B8" s="36"/>
      <c r="C8" s="36"/>
      <c r="D8" s="36"/>
      <c r="E8" s="43">
        <v>70.0</v>
      </c>
      <c r="F8" s="43">
        <v>0.0</v>
      </c>
      <c r="G8" s="43">
        <v>0.0</v>
      </c>
      <c r="H8" s="87"/>
      <c r="I8" s="87"/>
      <c r="J8" s="16"/>
      <c r="K8" s="16"/>
      <c r="L8" s="16"/>
      <c r="M8" s="16"/>
      <c r="N8" s="16"/>
      <c r="O8" s="16"/>
      <c r="P8" s="16"/>
      <c r="Q8" s="16"/>
    </row>
    <row r="9" ht="22.5" customHeight="1">
      <c r="A9" s="40" t="s">
        <v>36</v>
      </c>
      <c r="B9" s="36">
        <v>2.0</v>
      </c>
      <c r="C9" s="36"/>
      <c r="D9" s="36">
        <v>2.0</v>
      </c>
      <c r="E9" s="43">
        <v>31.0</v>
      </c>
      <c r="F9" s="43">
        <v>10.0</v>
      </c>
      <c r="G9" s="43">
        <v>17.0</v>
      </c>
      <c r="H9" s="85"/>
      <c r="I9" s="85"/>
      <c r="J9" s="16"/>
      <c r="K9" s="16"/>
      <c r="L9" s="16"/>
      <c r="M9" s="16"/>
      <c r="N9" s="16"/>
      <c r="O9" s="16"/>
      <c r="P9" s="16"/>
      <c r="Q9" s="16"/>
    </row>
    <row r="10" ht="22.5" customHeight="1">
      <c r="A10" s="40" t="s">
        <v>24</v>
      </c>
      <c r="B10" s="36">
        <v>2.0</v>
      </c>
      <c r="C10" s="36">
        <v>1.0</v>
      </c>
      <c r="D10" s="36">
        <v>2.0</v>
      </c>
      <c r="E10" s="43">
        <v>0.0</v>
      </c>
      <c r="F10" s="84">
        <v>0.0</v>
      </c>
      <c r="G10" s="84">
        <v>0.0</v>
      </c>
      <c r="H10" s="88"/>
      <c r="I10" s="88"/>
      <c r="J10" s="16"/>
      <c r="K10" s="16"/>
      <c r="L10" s="16"/>
      <c r="M10" s="16"/>
      <c r="N10" s="16"/>
      <c r="O10" s="16"/>
      <c r="P10" s="16"/>
      <c r="Q10" s="16"/>
    </row>
    <row r="11" ht="22.5" customHeight="1">
      <c r="A11" s="73" t="s">
        <v>61</v>
      </c>
      <c r="B11" s="36"/>
      <c r="C11" s="36"/>
      <c r="D11" s="36"/>
      <c r="E11" s="36">
        <v>0.0</v>
      </c>
      <c r="F11" s="86">
        <v>4.0</v>
      </c>
      <c r="G11" s="86">
        <v>15.0</v>
      </c>
      <c r="H11" s="38"/>
      <c r="I11" s="38"/>
      <c r="J11" s="16"/>
      <c r="K11" s="16"/>
      <c r="L11" s="16"/>
      <c r="M11" s="16"/>
      <c r="N11" s="16"/>
      <c r="O11" s="16"/>
      <c r="P11" s="16"/>
      <c r="Q11" s="16"/>
    </row>
    <row r="12" ht="22.5" customHeight="1">
      <c r="A12" s="40" t="s">
        <v>62</v>
      </c>
      <c r="B12" s="36">
        <v>3.0</v>
      </c>
      <c r="C12" s="36"/>
      <c r="D12" s="36">
        <v>3.0</v>
      </c>
      <c r="E12" s="36">
        <v>9.0</v>
      </c>
      <c r="F12" s="86">
        <v>3.0</v>
      </c>
      <c r="G12" s="86">
        <v>6.0</v>
      </c>
      <c r="H12" s="38"/>
      <c r="I12" s="38"/>
      <c r="J12" s="16"/>
      <c r="K12" s="16"/>
      <c r="L12" s="16"/>
      <c r="M12" s="16"/>
      <c r="N12" s="16"/>
      <c r="O12" s="16"/>
      <c r="P12" s="16"/>
      <c r="Q12" s="16"/>
    </row>
    <row r="13" ht="22.5" customHeight="1">
      <c r="A13" s="40" t="s">
        <v>26</v>
      </c>
      <c r="B13" s="36">
        <v>1.0</v>
      </c>
      <c r="C13" s="36">
        <v>1.0</v>
      </c>
      <c r="D13" s="36"/>
      <c r="E13" s="43">
        <v>68.0</v>
      </c>
      <c r="F13" s="43">
        <v>0.0</v>
      </c>
      <c r="G13" s="43">
        <v>0.0</v>
      </c>
      <c r="H13" s="88"/>
      <c r="I13" s="87"/>
      <c r="J13" s="16"/>
      <c r="K13" s="16"/>
      <c r="L13" s="16"/>
      <c r="M13" s="16"/>
      <c r="N13" s="16"/>
      <c r="O13" s="16"/>
      <c r="P13" s="16"/>
      <c r="Q13" s="16"/>
    </row>
    <row r="14" ht="22.5" customHeight="1">
      <c r="A14" s="40" t="s">
        <v>42</v>
      </c>
      <c r="B14" s="36">
        <v>2.0</v>
      </c>
      <c r="C14" s="36"/>
      <c r="D14" s="36">
        <v>2.0</v>
      </c>
      <c r="E14" s="43">
        <v>31.0</v>
      </c>
      <c r="F14" s="43">
        <v>13.0</v>
      </c>
      <c r="G14" s="43">
        <v>12.0</v>
      </c>
      <c r="H14" s="88"/>
      <c r="I14" s="88"/>
      <c r="J14" s="16"/>
      <c r="K14" s="16"/>
      <c r="L14" s="16"/>
      <c r="M14" s="16"/>
      <c r="N14" s="16"/>
      <c r="O14" s="16"/>
      <c r="P14" s="16"/>
      <c r="Q14" s="16"/>
    </row>
    <row r="15" ht="22.5" customHeight="1">
      <c r="A15" s="73" t="s">
        <v>43</v>
      </c>
      <c r="B15" s="38"/>
      <c r="C15" s="36"/>
      <c r="D15" s="36"/>
      <c r="E15" s="43">
        <v>1.0</v>
      </c>
      <c r="F15" s="84">
        <v>0.0</v>
      </c>
      <c r="G15" s="84">
        <v>0.0</v>
      </c>
      <c r="H15" s="85"/>
      <c r="I15" s="85"/>
      <c r="J15" s="16"/>
      <c r="K15" s="16"/>
      <c r="L15" s="16"/>
      <c r="M15" s="16"/>
      <c r="N15" s="16"/>
      <c r="O15" s="16"/>
      <c r="P15" s="16"/>
      <c r="Q15" s="16"/>
    </row>
    <row r="16" ht="22.5" customHeight="1">
      <c r="A16" s="73" t="s">
        <v>40</v>
      </c>
      <c r="B16" s="38"/>
      <c r="C16" s="38"/>
      <c r="D16" s="36"/>
      <c r="E16" s="43">
        <v>16.0</v>
      </c>
      <c r="F16" s="43">
        <v>9.0</v>
      </c>
      <c r="G16" s="43">
        <v>11.0</v>
      </c>
      <c r="H16" s="85"/>
      <c r="I16" s="85"/>
      <c r="J16" s="16"/>
      <c r="K16" s="16"/>
      <c r="L16" s="16"/>
      <c r="M16" s="16"/>
      <c r="N16" s="16"/>
      <c r="O16" s="16"/>
      <c r="P16" s="16"/>
      <c r="Q16" s="16"/>
    </row>
    <row r="17" ht="22.5" customHeight="1">
      <c r="A17" s="73" t="s">
        <v>63</v>
      </c>
      <c r="B17" s="38"/>
      <c r="C17" s="38"/>
      <c r="D17" s="36"/>
      <c r="E17" s="36">
        <v>0.0</v>
      </c>
      <c r="F17" s="86">
        <v>1.0</v>
      </c>
      <c r="G17" s="86">
        <v>3.0</v>
      </c>
      <c r="H17" s="38"/>
      <c r="I17" s="38"/>
      <c r="J17" s="16"/>
      <c r="K17" s="16"/>
      <c r="L17" s="16"/>
      <c r="M17" s="16"/>
      <c r="N17" s="16"/>
      <c r="O17" s="16"/>
      <c r="P17" s="16"/>
      <c r="Q17" s="16"/>
    </row>
    <row r="18" ht="22.5" customHeight="1">
      <c r="A18" s="40" t="s">
        <v>64</v>
      </c>
      <c r="B18" s="36">
        <v>1.0</v>
      </c>
      <c r="C18" s="36"/>
      <c r="D18" s="36">
        <v>1.0</v>
      </c>
      <c r="E18" s="43">
        <v>3.0</v>
      </c>
      <c r="F18" s="43">
        <v>0.0</v>
      </c>
      <c r="G18" s="43">
        <v>0.0</v>
      </c>
      <c r="H18" s="87"/>
      <c r="I18" s="87"/>
      <c r="J18" s="16"/>
      <c r="K18" s="16"/>
      <c r="L18" s="16"/>
      <c r="M18" s="16"/>
      <c r="N18" s="16"/>
      <c r="O18" s="16"/>
      <c r="P18" s="16"/>
      <c r="Q18" s="16"/>
    </row>
    <row r="19" ht="22.5" customHeight="1">
      <c r="A19" s="73" t="s">
        <v>57</v>
      </c>
      <c r="B19" s="36"/>
      <c r="C19" s="36"/>
      <c r="D19" s="36"/>
      <c r="E19" s="43">
        <v>4.0</v>
      </c>
      <c r="F19" s="43">
        <v>2.0</v>
      </c>
      <c r="G19" s="43">
        <v>3.0</v>
      </c>
      <c r="H19" s="87"/>
      <c r="I19" s="87"/>
      <c r="J19" s="16"/>
      <c r="K19" s="16"/>
      <c r="L19" s="16"/>
      <c r="M19" s="16"/>
      <c r="N19" s="16"/>
      <c r="O19" s="16"/>
      <c r="P19" s="16"/>
      <c r="Q19" s="16"/>
    </row>
    <row r="20" ht="22.5" customHeight="1">
      <c r="A20" s="40" t="s">
        <v>37</v>
      </c>
      <c r="B20" s="36">
        <v>2.0</v>
      </c>
      <c r="C20" s="36">
        <v>1.0</v>
      </c>
      <c r="D20" s="36">
        <v>1.0</v>
      </c>
      <c r="E20" s="43">
        <v>12.0</v>
      </c>
      <c r="F20" s="43">
        <v>6.0</v>
      </c>
      <c r="G20" s="43">
        <v>6.0</v>
      </c>
      <c r="H20" s="85"/>
      <c r="I20" s="85"/>
      <c r="J20" s="16"/>
      <c r="K20" s="16"/>
      <c r="L20" s="16"/>
      <c r="M20" s="16"/>
      <c r="N20" s="16"/>
      <c r="O20" s="16"/>
      <c r="P20" s="16"/>
      <c r="Q20" s="16"/>
    </row>
    <row r="21" ht="22.5" customHeight="1">
      <c r="A21" s="40" t="s">
        <v>33</v>
      </c>
      <c r="B21" s="36">
        <v>1.0</v>
      </c>
      <c r="C21" s="38"/>
      <c r="D21" s="36">
        <v>1.0</v>
      </c>
      <c r="E21" s="43">
        <v>0.0</v>
      </c>
      <c r="F21" s="43">
        <v>0.0</v>
      </c>
      <c r="G21" s="43">
        <v>0.0</v>
      </c>
      <c r="H21" s="85"/>
      <c r="I21" s="85"/>
      <c r="J21" s="16"/>
      <c r="K21" s="16"/>
      <c r="L21" s="16"/>
      <c r="M21" s="16"/>
      <c r="N21" s="16"/>
      <c r="O21" s="16"/>
      <c r="P21" s="16"/>
      <c r="Q21" s="16"/>
    </row>
    <row r="22" ht="22.5" customHeight="1">
      <c r="A22" s="40" t="s">
        <v>41</v>
      </c>
      <c r="B22" s="36">
        <v>3.0</v>
      </c>
      <c r="C22" s="36">
        <v>1.0</v>
      </c>
      <c r="D22" s="36">
        <v>2.0</v>
      </c>
      <c r="E22" s="43">
        <v>32.0</v>
      </c>
      <c r="F22" s="43">
        <v>1.0</v>
      </c>
      <c r="G22" s="43">
        <v>1.0</v>
      </c>
      <c r="H22" s="87"/>
      <c r="I22" s="87"/>
      <c r="J22" s="16"/>
      <c r="K22" s="16"/>
      <c r="L22" s="16"/>
      <c r="M22" s="16"/>
      <c r="N22" s="16"/>
      <c r="O22" s="16"/>
      <c r="P22" s="16"/>
      <c r="Q22" s="16"/>
    </row>
    <row r="23" ht="22.5" customHeight="1">
      <c r="A23" s="40" t="s">
        <v>28</v>
      </c>
      <c r="B23" s="36">
        <v>1.0</v>
      </c>
      <c r="C23" s="36"/>
      <c r="D23" s="36">
        <v>1.0</v>
      </c>
      <c r="E23" s="43">
        <v>40.0</v>
      </c>
      <c r="F23" s="84">
        <v>1.0</v>
      </c>
      <c r="G23" s="84">
        <v>1.0</v>
      </c>
      <c r="H23" s="85"/>
      <c r="I23" s="85"/>
      <c r="J23" s="16"/>
      <c r="K23" s="16"/>
      <c r="L23" s="16"/>
      <c r="M23" s="16"/>
      <c r="N23" s="16"/>
      <c r="O23" s="16"/>
      <c r="P23" s="16"/>
      <c r="Q23" s="16"/>
    </row>
    <row r="24" ht="22.5" customHeight="1">
      <c r="A24" s="40" t="s">
        <v>49</v>
      </c>
      <c r="B24" s="36">
        <v>2.0</v>
      </c>
      <c r="C24" s="36">
        <v>2.0</v>
      </c>
      <c r="D24" s="36"/>
      <c r="E24" s="43">
        <v>73.0</v>
      </c>
      <c r="F24" s="43">
        <v>19.0</v>
      </c>
      <c r="G24" s="43">
        <v>43.0</v>
      </c>
      <c r="H24" s="87"/>
      <c r="I24" s="85"/>
      <c r="J24" s="16"/>
      <c r="K24" s="16"/>
      <c r="L24" s="16"/>
      <c r="M24" s="16"/>
      <c r="N24" s="16"/>
      <c r="O24" s="16"/>
      <c r="P24" s="16"/>
      <c r="Q24" s="16"/>
    </row>
    <row r="25" ht="22.5" customHeight="1">
      <c r="A25" s="40" t="s">
        <v>38</v>
      </c>
      <c r="B25" s="36">
        <v>1.0</v>
      </c>
      <c r="C25" s="36"/>
      <c r="D25" s="36">
        <v>1.0</v>
      </c>
      <c r="E25" s="36">
        <v>41.0</v>
      </c>
      <c r="F25" s="86">
        <v>6.0</v>
      </c>
      <c r="G25" s="86">
        <v>15.0</v>
      </c>
      <c r="H25" s="38"/>
      <c r="I25" s="38"/>
      <c r="J25" s="16"/>
      <c r="K25" s="16"/>
      <c r="L25" s="16"/>
      <c r="M25" s="16"/>
      <c r="N25" s="16"/>
      <c r="O25" s="16"/>
      <c r="P25" s="16"/>
      <c r="Q25" s="16"/>
    </row>
    <row r="26" ht="22.5" customHeight="1">
      <c r="A26" s="73" t="s">
        <v>55</v>
      </c>
      <c r="B26" s="36">
        <v>1.0</v>
      </c>
      <c r="C26" s="36">
        <v>1.0</v>
      </c>
      <c r="D26" s="36"/>
      <c r="E26" s="43">
        <v>22.0</v>
      </c>
      <c r="F26" s="43">
        <v>6.0</v>
      </c>
      <c r="G26" s="43">
        <v>9.0</v>
      </c>
      <c r="H26" s="87"/>
      <c r="I26" s="88"/>
      <c r="J26" s="16"/>
      <c r="K26" s="16"/>
      <c r="L26" s="16"/>
      <c r="M26" s="16"/>
      <c r="N26" s="16"/>
      <c r="O26" s="16"/>
      <c r="P26" s="16"/>
      <c r="Q26" s="16"/>
    </row>
    <row r="27" ht="22.5" customHeight="1">
      <c r="A27" s="40" t="s">
        <v>34</v>
      </c>
      <c r="B27" s="36">
        <v>2.0</v>
      </c>
      <c r="C27" s="36">
        <v>2.0</v>
      </c>
      <c r="D27" s="36"/>
      <c r="E27" s="36">
        <v>14.0</v>
      </c>
      <c r="F27" s="86">
        <v>8.0</v>
      </c>
      <c r="G27" s="86">
        <v>9.0</v>
      </c>
      <c r="H27" s="38"/>
      <c r="I27" s="38"/>
      <c r="J27" s="16"/>
      <c r="K27" s="16"/>
      <c r="L27" s="16"/>
      <c r="M27" s="16"/>
      <c r="N27" s="16"/>
      <c r="O27" s="16"/>
      <c r="P27" s="16"/>
      <c r="Q27" s="16"/>
    </row>
    <row r="28" ht="22.5" customHeight="1">
      <c r="A28" s="40" t="s">
        <v>65</v>
      </c>
      <c r="B28" s="36"/>
      <c r="C28" s="36"/>
      <c r="D28" s="36"/>
      <c r="E28" s="43">
        <v>3.0</v>
      </c>
      <c r="F28" s="43">
        <v>0.0</v>
      </c>
      <c r="G28" s="43">
        <v>0.0</v>
      </c>
      <c r="H28" s="85"/>
      <c r="I28" s="85"/>
      <c r="J28" s="16"/>
      <c r="K28" s="16"/>
      <c r="L28" s="16"/>
      <c r="M28" s="16"/>
      <c r="N28" s="16"/>
      <c r="O28" s="16"/>
      <c r="P28" s="16"/>
      <c r="Q28" s="16"/>
    </row>
    <row r="29" ht="22.5" customHeight="1">
      <c r="A29" s="40" t="s">
        <v>66</v>
      </c>
      <c r="B29" s="36">
        <v>1.0</v>
      </c>
      <c r="C29" s="36">
        <v>1.0</v>
      </c>
      <c r="D29" s="36"/>
      <c r="E29" s="43">
        <v>0.0</v>
      </c>
      <c r="F29" s="43">
        <v>1.0</v>
      </c>
      <c r="G29" s="43">
        <v>1.0</v>
      </c>
      <c r="H29" s="88"/>
      <c r="I29" s="87"/>
      <c r="J29" s="16"/>
      <c r="K29" s="16"/>
      <c r="L29" s="16"/>
      <c r="M29" s="16"/>
      <c r="N29" s="16"/>
      <c r="O29" s="16"/>
      <c r="P29" s="16"/>
      <c r="Q29" s="16"/>
    </row>
    <row r="30" ht="22.5" customHeight="1">
      <c r="A30" s="73" t="s">
        <v>58</v>
      </c>
      <c r="B30" s="36"/>
      <c r="C30" s="36"/>
      <c r="D30" s="36"/>
      <c r="E30" s="43">
        <v>0.0</v>
      </c>
      <c r="F30" s="43">
        <v>0.0</v>
      </c>
      <c r="G30" s="43">
        <v>0.0</v>
      </c>
      <c r="H30" s="88"/>
      <c r="I30" s="87"/>
      <c r="J30" s="16"/>
      <c r="K30" s="16"/>
      <c r="L30" s="16"/>
      <c r="M30" s="16"/>
      <c r="N30" s="16"/>
      <c r="O30" s="16"/>
      <c r="P30" s="16"/>
      <c r="Q30" s="16"/>
    </row>
    <row r="31" ht="22.5" customHeight="1">
      <c r="A31" s="40" t="s">
        <v>29</v>
      </c>
      <c r="B31" s="36">
        <v>1.0</v>
      </c>
      <c r="C31" s="36"/>
      <c r="D31" s="36">
        <v>1.0</v>
      </c>
      <c r="E31" s="75">
        <v>11.0</v>
      </c>
      <c r="F31" s="92">
        <v>0.0</v>
      </c>
      <c r="G31" s="92">
        <v>0.0</v>
      </c>
      <c r="H31" s="93"/>
      <c r="I31" s="93"/>
      <c r="J31" s="16"/>
      <c r="K31" s="16"/>
      <c r="L31" s="16"/>
      <c r="M31" s="16"/>
      <c r="N31" s="16"/>
      <c r="O31" s="16"/>
      <c r="P31" s="16"/>
      <c r="Q31" s="16"/>
    </row>
    <row r="32" ht="22.5" customHeight="1">
      <c r="A32" s="77" t="s">
        <v>67</v>
      </c>
      <c r="B32" s="67">
        <v>2.0</v>
      </c>
      <c r="C32" s="67">
        <v>2.0</v>
      </c>
      <c r="D32" s="67"/>
      <c r="E32" s="68"/>
      <c r="F32" s="79">
        <v>0.0</v>
      </c>
      <c r="G32" s="79">
        <v>0.0</v>
      </c>
      <c r="H32" s="68"/>
      <c r="I32" s="68"/>
      <c r="J32" s="16"/>
      <c r="K32" s="16"/>
      <c r="L32" s="16"/>
      <c r="M32" s="16"/>
      <c r="N32" s="16"/>
      <c r="O32" s="16"/>
      <c r="P32" s="16"/>
      <c r="Q32" s="16"/>
    </row>
    <row r="33">
      <c r="A33" s="94"/>
      <c r="B33" s="95">
        <f>SUM('SEPTIEMBRE 2026'!$B$3:$B$32)</f>
        <v>30</v>
      </c>
      <c r="C33" s="96"/>
      <c r="D33" s="9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</row>
    <row r="34">
      <c r="A34" s="16"/>
      <c r="B34" s="16"/>
      <c r="C34" s="16"/>
      <c r="D34" s="97"/>
      <c r="E34" s="9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</row>
    <row r="35">
      <c r="A35" s="16"/>
      <c r="B35" s="16"/>
      <c r="C35" s="16"/>
      <c r="D35" s="97"/>
      <c r="E35" s="9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</row>
    <row r="36">
      <c r="A36" s="16"/>
      <c r="B36" s="16"/>
      <c r="C36" s="16"/>
      <c r="D36" s="97"/>
      <c r="E36" s="9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</row>
    <row r="37">
      <c r="A37" s="16"/>
      <c r="B37" s="16"/>
      <c r="C37" s="16"/>
      <c r="D37" s="97"/>
      <c r="E37" s="9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0.5"/>
    <col customWidth="1" min="2" max="2" width="18.25"/>
    <col customWidth="1" min="5" max="5" width="17.0"/>
    <col customWidth="1" min="6" max="6" width="13.63"/>
    <col customWidth="1" min="7" max="7" width="17.38"/>
    <col customWidth="1" min="8" max="8" width="17.75"/>
    <col customWidth="1" min="9" max="9" width="18.88"/>
    <col customWidth="1" min="10" max="10" width="17.5"/>
  </cols>
  <sheetData>
    <row r="1">
      <c r="A1" s="81" t="s">
        <v>0</v>
      </c>
      <c r="B1" s="1">
        <f t="shared" ref="B1:H1" si="1">SUM(B3:B30)</f>
        <v>38</v>
      </c>
      <c r="C1" s="1">
        <f t="shared" si="1"/>
        <v>15</v>
      </c>
      <c r="D1" s="1">
        <f t="shared" si="1"/>
        <v>24</v>
      </c>
      <c r="E1" s="1">
        <f t="shared" si="1"/>
        <v>9</v>
      </c>
      <c r="F1" s="1">
        <f t="shared" si="1"/>
        <v>398</v>
      </c>
      <c r="G1" s="1">
        <f t="shared" si="1"/>
        <v>112</v>
      </c>
      <c r="H1" s="1">
        <f t="shared" si="1"/>
        <v>189</v>
      </c>
      <c r="I1" s="7">
        <f t="shared" ref="I1:J1" si="2">SUM(I3:I21)</f>
        <v>0</v>
      </c>
      <c r="J1" s="7">
        <f t="shared" si="2"/>
        <v>0</v>
      </c>
      <c r="K1" s="16"/>
      <c r="L1" s="16"/>
      <c r="M1" s="16"/>
      <c r="N1" s="16"/>
      <c r="O1" s="16"/>
      <c r="P1" s="16"/>
      <c r="Q1" s="16"/>
      <c r="R1" s="16"/>
    </row>
    <row r="2" ht="22.5" customHeight="1">
      <c r="A2" s="2" t="s">
        <v>8</v>
      </c>
      <c r="B2" s="2" t="s">
        <v>9</v>
      </c>
      <c r="C2" s="2" t="s">
        <v>10</v>
      </c>
      <c r="D2" s="82" t="s">
        <v>11</v>
      </c>
      <c r="E2" s="82" t="s">
        <v>60</v>
      </c>
      <c r="F2" s="82" t="s">
        <v>12</v>
      </c>
      <c r="G2" s="83" t="s">
        <v>13</v>
      </c>
      <c r="H2" s="82" t="s">
        <v>14</v>
      </c>
      <c r="I2" s="82" t="s">
        <v>15</v>
      </c>
      <c r="J2" s="82" t="s">
        <v>16</v>
      </c>
      <c r="K2" s="16"/>
      <c r="L2" s="16"/>
      <c r="M2" s="16"/>
      <c r="N2" s="16"/>
      <c r="O2" s="16"/>
      <c r="P2" s="16"/>
      <c r="Q2" s="16"/>
      <c r="R2" s="16"/>
    </row>
    <row r="3" ht="22.5" customHeight="1">
      <c r="A3" s="40" t="s">
        <v>25</v>
      </c>
      <c r="B3" s="36">
        <v>2.0</v>
      </c>
      <c r="C3" s="73"/>
      <c r="D3" s="73">
        <v>2.0</v>
      </c>
      <c r="E3" s="73"/>
      <c r="F3" s="73">
        <v>35.0</v>
      </c>
      <c r="G3" s="84">
        <v>10.0</v>
      </c>
      <c r="H3" s="84">
        <v>11.0</v>
      </c>
      <c r="I3" s="85"/>
      <c r="J3" s="85"/>
      <c r="K3" s="16"/>
      <c r="L3" s="16"/>
      <c r="M3" s="16"/>
      <c r="N3" s="16"/>
      <c r="O3" s="16"/>
      <c r="P3" s="16"/>
      <c r="Q3" s="16"/>
      <c r="R3" s="16"/>
    </row>
    <row r="4" ht="22.5" customHeight="1">
      <c r="A4" s="89" t="s">
        <v>27</v>
      </c>
      <c r="B4" s="36"/>
      <c r="C4" s="36"/>
      <c r="D4" s="38"/>
      <c r="E4" s="36"/>
      <c r="F4" s="36">
        <v>4.0</v>
      </c>
      <c r="G4" s="86">
        <v>6.0</v>
      </c>
      <c r="H4" s="86">
        <v>6.0</v>
      </c>
      <c r="I4" s="38"/>
      <c r="J4" s="38"/>
      <c r="K4" s="16"/>
      <c r="L4" s="16"/>
      <c r="M4" s="16"/>
      <c r="N4" s="16"/>
      <c r="O4" s="16"/>
      <c r="P4" s="16"/>
      <c r="Q4" s="16"/>
      <c r="R4" s="16"/>
    </row>
    <row r="5" ht="22.5" customHeight="1">
      <c r="A5" s="89" t="s">
        <v>30</v>
      </c>
      <c r="B5" s="38"/>
      <c r="C5" s="38"/>
      <c r="D5" s="38"/>
      <c r="E5" s="43"/>
      <c r="F5" s="43">
        <v>0.0</v>
      </c>
      <c r="G5" s="84">
        <v>0.0</v>
      </c>
      <c r="H5" s="84">
        <v>0.0</v>
      </c>
      <c r="I5" s="85"/>
      <c r="J5" s="85"/>
      <c r="K5" s="16"/>
      <c r="L5" s="16"/>
      <c r="M5" s="16"/>
      <c r="N5" s="16"/>
      <c r="O5" s="16"/>
      <c r="P5" s="16"/>
      <c r="Q5" s="16"/>
      <c r="R5" s="16"/>
    </row>
    <row r="6" ht="22.5" customHeight="1">
      <c r="A6" s="73" t="s">
        <v>32</v>
      </c>
      <c r="B6" s="38"/>
      <c r="C6" s="36"/>
      <c r="D6" s="36"/>
      <c r="E6" s="43"/>
      <c r="F6" s="43">
        <v>0.0</v>
      </c>
      <c r="G6" s="43">
        <v>0.0</v>
      </c>
      <c r="H6" s="43">
        <v>0.0</v>
      </c>
      <c r="I6" s="87"/>
      <c r="J6" s="85"/>
      <c r="K6" s="16"/>
      <c r="L6" s="16"/>
      <c r="M6" s="16"/>
      <c r="N6" s="16"/>
      <c r="O6" s="16"/>
      <c r="P6" s="16"/>
      <c r="Q6" s="16"/>
      <c r="R6" s="16"/>
    </row>
    <row r="7" ht="22.5" customHeight="1">
      <c r="A7" s="90" t="s">
        <v>59</v>
      </c>
      <c r="B7" s="36"/>
      <c r="C7" s="36"/>
      <c r="D7" s="36"/>
      <c r="E7" s="43"/>
      <c r="F7" s="43">
        <v>0.0</v>
      </c>
      <c r="G7" s="43">
        <v>0.0</v>
      </c>
      <c r="H7" s="43">
        <v>0.0</v>
      </c>
      <c r="I7" s="87"/>
      <c r="J7" s="87"/>
      <c r="K7" s="16"/>
      <c r="L7" s="16"/>
      <c r="M7" s="16"/>
      <c r="N7" s="16"/>
      <c r="O7" s="16"/>
      <c r="P7" s="16"/>
      <c r="Q7" s="16"/>
      <c r="R7" s="16"/>
    </row>
    <row r="8" ht="22.5" customHeight="1">
      <c r="A8" s="91" t="s">
        <v>31</v>
      </c>
      <c r="B8" s="36"/>
      <c r="C8" s="36"/>
      <c r="D8" s="36"/>
      <c r="E8" s="43"/>
      <c r="F8" s="43">
        <v>23.0</v>
      </c>
      <c r="G8" s="43">
        <v>0.0</v>
      </c>
      <c r="H8" s="43">
        <v>0.0</v>
      </c>
      <c r="I8" s="87"/>
      <c r="J8" s="87"/>
      <c r="K8" s="16"/>
      <c r="L8" s="16"/>
      <c r="M8" s="16"/>
      <c r="N8" s="16"/>
      <c r="O8" s="16"/>
      <c r="P8" s="16"/>
      <c r="Q8" s="16"/>
      <c r="R8" s="16"/>
    </row>
    <row r="9" ht="22.5" customHeight="1">
      <c r="A9" s="73" t="s">
        <v>36</v>
      </c>
      <c r="B9" s="36"/>
      <c r="C9" s="36"/>
      <c r="D9" s="36"/>
      <c r="E9" s="43"/>
      <c r="F9" s="43">
        <v>22.0</v>
      </c>
      <c r="G9" s="43">
        <v>7.0</v>
      </c>
      <c r="H9" s="43">
        <v>15.0</v>
      </c>
      <c r="I9" s="85"/>
      <c r="J9" s="85"/>
      <c r="K9" s="16"/>
      <c r="L9" s="16"/>
      <c r="M9" s="16"/>
      <c r="N9" s="16"/>
      <c r="O9" s="16"/>
      <c r="P9" s="16"/>
      <c r="Q9" s="16"/>
      <c r="R9" s="16"/>
    </row>
    <row r="10" ht="22.5" customHeight="1">
      <c r="A10" s="40" t="s">
        <v>24</v>
      </c>
      <c r="B10" s="36">
        <v>2.0</v>
      </c>
      <c r="C10" s="36">
        <v>1.0</v>
      </c>
      <c r="D10" s="36">
        <v>1.0</v>
      </c>
      <c r="E10" s="43"/>
      <c r="F10" s="43">
        <v>0.0</v>
      </c>
      <c r="G10" s="84">
        <v>0.0</v>
      </c>
      <c r="H10" s="84">
        <v>0.0</v>
      </c>
      <c r="I10" s="88"/>
      <c r="J10" s="88"/>
      <c r="K10" s="16"/>
      <c r="L10" s="16"/>
      <c r="M10" s="16"/>
      <c r="N10" s="16"/>
      <c r="O10" s="16"/>
      <c r="P10" s="16"/>
      <c r="Q10" s="16"/>
      <c r="R10" s="16"/>
    </row>
    <row r="11" ht="22.5" customHeight="1">
      <c r="A11" s="40" t="s">
        <v>61</v>
      </c>
      <c r="B11" s="36">
        <v>1.0</v>
      </c>
      <c r="C11" s="36"/>
      <c r="D11" s="36">
        <v>1.0</v>
      </c>
      <c r="E11" s="36"/>
      <c r="F11" s="36">
        <v>3.0</v>
      </c>
      <c r="G11" s="86">
        <v>7.0</v>
      </c>
      <c r="H11" s="86">
        <v>18.0</v>
      </c>
      <c r="I11" s="38"/>
      <c r="J11" s="38"/>
      <c r="K11" s="16"/>
      <c r="L11" s="16"/>
      <c r="M11" s="16"/>
      <c r="N11" s="16"/>
      <c r="O11" s="16"/>
      <c r="P11" s="16"/>
      <c r="Q11" s="16"/>
      <c r="R11" s="16"/>
    </row>
    <row r="12" ht="22.5" customHeight="1">
      <c r="A12" s="40" t="s">
        <v>62</v>
      </c>
      <c r="B12" s="36">
        <v>2.0</v>
      </c>
      <c r="C12" s="36">
        <v>1.0</v>
      </c>
      <c r="D12" s="36">
        <v>1.0</v>
      </c>
      <c r="E12" s="36"/>
      <c r="F12" s="36">
        <v>32.0</v>
      </c>
      <c r="G12" s="86">
        <v>2.0</v>
      </c>
      <c r="H12" s="86">
        <v>2.0</v>
      </c>
      <c r="I12" s="38"/>
      <c r="J12" s="38"/>
      <c r="K12" s="16"/>
      <c r="L12" s="16"/>
      <c r="M12" s="16"/>
      <c r="N12" s="16"/>
      <c r="O12" s="16"/>
      <c r="P12" s="16"/>
      <c r="Q12" s="16"/>
      <c r="R12" s="16"/>
    </row>
    <row r="13" ht="22.5" customHeight="1">
      <c r="A13" s="40" t="s">
        <v>26</v>
      </c>
      <c r="B13" s="36">
        <v>8.0</v>
      </c>
      <c r="C13" s="36">
        <v>3.0</v>
      </c>
      <c r="D13" s="36">
        <v>5.0</v>
      </c>
      <c r="E13" s="43">
        <v>5.0</v>
      </c>
      <c r="F13" s="43">
        <v>32.0</v>
      </c>
      <c r="G13" s="43">
        <v>5.0</v>
      </c>
      <c r="H13" s="43">
        <v>13.0</v>
      </c>
      <c r="I13" s="88"/>
      <c r="J13" s="87"/>
      <c r="K13" s="16"/>
      <c r="L13" s="16"/>
      <c r="M13" s="16"/>
      <c r="N13" s="16"/>
      <c r="O13" s="16"/>
      <c r="P13" s="16"/>
      <c r="Q13" s="16"/>
      <c r="R13" s="16"/>
    </row>
    <row r="14" ht="22.5" customHeight="1">
      <c r="A14" s="91" t="s">
        <v>42</v>
      </c>
      <c r="B14" s="36"/>
      <c r="C14" s="36"/>
      <c r="D14" s="36"/>
      <c r="E14" s="43"/>
      <c r="F14" s="43">
        <v>18.0</v>
      </c>
      <c r="G14" s="43">
        <v>3.0</v>
      </c>
      <c r="H14" s="43">
        <v>3.0</v>
      </c>
      <c r="I14" s="88"/>
      <c r="J14" s="88"/>
      <c r="K14" s="16"/>
      <c r="L14" s="16"/>
      <c r="M14" s="16"/>
      <c r="N14" s="16"/>
      <c r="O14" s="16"/>
      <c r="P14" s="16"/>
      <c r="Q14" s="16"/>
      <c r="R14" s="16"/>
    </row>
    <row r="15" ht="22.5" customHeight="1">
      <c r="A15" s="91" t="s">
        <v>40</v>
      </c>
      <c r="B15" s="38"/>
      <c r="C15" s="38"/>
      <c r="D15" s="36"/>
      <c r="E15" s="43"/>
      <c r="F15" s="43">
        <v>8.0</v>
      </c>
      <c r="G15" s="43">
        <v>7.0</v>
      </c>
      <c r="H15" s="43">
        <v>8.0</v>
      </c>
      <c r="I15" s="85"/>
      <c r="J15" s="85"/>
      <c r="K15" s="16"/>
      <c r="L15" s="16"/>
      <c r="M15" s="16"/>
      <c r="N15" s="16"/>
      <c r="O15" s="16"/>
      <c r="P15" s="16"/>
      <c r="Q15" s="16"/>
      <c r="R15" s="16"/>
    </row>
    <row r="16" ht="22.5" customHeight="1">
      <c r="A16" s="40" t="s">
        <v>63</v>
      </c>
      <c r="B16" s="36">
        <v>1.0</v>
      </c>
      <c r="C16" s="38"/>
      <c r="D16" s="36">
        <v>1.0</v>
      </c>
      <c r="E16" s="36">
        <v>1.0</v>
      </c>
      <c r="F16" s="36">
        <v>0.0</v>
      </c>
      <c r="G16" s="86">
        <v>1.0</v>
      </c>
      <c r="H16" s="86">
        <v>1.0</v>
      </c>
      <c r="I16" s="38"/>
      <c r="J16" s="38"/>
      <c r="K16" s="16"/>
      <c r="L16" s="16"/>
      <c r="M16" s="16"/>
      <c r="N16" s="16"/>
      <c r="O16" s="16"/>
      <c r="P16" s="16"/>
      <c r="Q16" s="16"/>
      <c r="R16" s="16"/>
    </row>
    <row r="17" ht="22.5" customHeight="1">
      <c r="A17" s="40" t="s">
        <v>64</v>
      </c>
      <c r="B17" s="36">
        <v>1.0</v>
      </c>
      <c r="C17" s="36"/>
      <c r="D17" s="36">
        <v>1.0</v>
      </c>
      <c r="E17" s="43"/>
      <c r="F17" s="43">
        <v>12.0</v>
      </c>
      <c r="G17" s="43">
        <v>4.0</v>
      </c>
      <c r="H17" s="43">
        <v>4.0</v>
      </c>
      <c r="I17" s="87"/>
      <c r="J17" s="87"/>
      <c r="K17" s="16"/>
      <c r="L17" s="16"/>
      <c r="M17" s="16"/>
      <c r="N17" s="16"/>
      <c r="O17" s="16"/>
      <c r="P17" s="16"/>
      <c r="Q17" s="16"/>
      <c r="R17" s="16"/>
    </row>
    <row r="18" ht="22.5" customHeight="1">
      <c r="A18" s="40" t="s">
        <v>37</v>
      </c>
      <c r="B18" s="36">
        <v>3.0</v>
      </c>
      <c r="C18" s="36">
        <v>1.0</v>
      </c>
      <c r="D18" s="36">
        <v>2.0</v>
      </c>
      <c r="E18" s="43"/>
      <c r="F18" s="43">
        <v>20.0</v>
      </c>
      <c r="G18" s="43">
        <v>10.0</v>
      </c>
      <c r="H18" s="43">
        <v>14.0</v>
      </c>
      <c r="I18" s="85"/>
      <c r="J18" s="85"/>
      <c r="K18" s="16"/>
      <c r="L18" s="16"/>
      <c r="M18" s="16"/>
      <c r="N18" s="16"/>
      <c r="O18" s="16"/>
      <c r="P18" s="16"/>
      <c r="Q18" s="16"/>
      <c r="R18" s="16"/>
    </row>
    <row r="19" ht="22.5" customHeight="1">
      <c r="A19" s="40" t="s">
        <v>33</v>
      </c>
      <c r="B19" s="36">
        <v>1.0</v>
      </c>
      <c r="C19" s="36">
        <v>1.0</v>
      </c>
      <c r="D19" s="36"/>
      <c r="E19" s="43"/>
      <c r="F19" s="43">
        <v>1.0</v>
      </c>
      <c r="G19" s="43">
        <v>0.0</v>
      </c>
      <c r="H19" s="43">
        <v>0.0</v>
      </c>
      <c r="I19" s="85"/>
      <c r="J19" s="85"/>
      <c r="K19" s="16"/>
      <c r="L19" s="16"/>
      <c r="M19" s="16"/>
      <c r="N19" s="16"/>
      <c r="O19" s="16"/>
      <c r="P19" s="16"/>
      <c r="Q19" s="16"/>
      <c r="R19" s="16"/>
    </row>
    <row r="20" ht="22.5" customHeight="1">
      <c r="A20" s="91" t="s">
        <v>41</v>
      </c>
      <c r="B20" s="36"/>
      <c r="C20" s="36"/>
      <c r="D20" s="36"/>
      <c r="E20" s="43"/>
      <c r="F20" s="43">
        <v>20.0</v>
      </c>
      <c r="G20" s="43">
        <v>0.0</v>
      </c>
      <c r="H20" s="43">
        <v>0.0</v>
      </c>
      <c r="I20" s="87"/>
      <c r="J20" s="87"/>
      <c r="K20" s="16"/>
      <c r="L20" s="16"/>
      <c r="M20" s="16"/>
      <c r="N20" s="16"/>
      <c r="O20" s="16"/>
      <c r="P20" s="16"/>
      <c r="Q20" s="16"/>
      <c r="R20" s="16"/>
    </row>
    <row r="21" ht="22.5" customHeight="1">
      <c r="A21" s="40" t="s">
        <v>28</v>
      </c>
      <c r="B21" s="36">
        <v>2.0</v>
      </c>
      <c r="C21" s="36">
        <v>2.0</v>
      </c>
      <c r="D21" s="36"/>
      <c r="E21" s="43"/>
      <c r="F21" s="43">
        <v>32.0</v>
      </c>
      <c r="G21" s="84">
        <v>7.0</v>
      </c>
      <c r="H21" s="84">
        <v>7.0</v>
      </c>
      <c r="I21" s="85"/>
      <c r="J21" s="85"/>
      <c r="K21" s="16"/>
      <c r="L21" s="16"/>
      <c r="M21" s="16"/>
      <c r="N21" s="16"/>
      <c r="O21" s="16"/>
      <c r="P21" s="16"/>
      <c r="Q21" s="16"/>
      <c r="R21" s="16"/>
    </row>
    <row r="22" ht="22.5" customHeight="1">
      <c r="A22" s="40" t="s">
        <v>49</v>
      </c>
      <c r="B22" s="36">
        <v>4.0</v>
      </c>
      <c r="C22" s="36">
        <v>2.0</v>
      </c>
      <c r="D22" s="36">
        <v>2.0</v>
      </c>
      <c r="E22" s="43">
        <v>1.0</v>
      </c>
      <c r="F22" s="43">
        <v>39.0</v>
      </c>
      <c r="G22" s="43">
        <v>16.0</v>
      </c>
      <c r="H22" s="43">
        <v>45.0</v>
      </c>
      <c r="I22" s="87"/>
      <c r="J22" s="85"/>
      <c r="K22" s="16"/>
      <c r="L22" s="16"/>
      <c r="M22" s="16"/>
      <c r="N22" s="16"/>
      <c r="O22" s="16"/>
      <c r="P22" s="16"/>
      <c r="Q22" s="16"/>
      <c r="R22" s="16"/>
    </row>
    <row r="23" ht="22.5" customHeight="1">
      <c r="A23" s="40" t="s">
        <v>38</v>
      </c>
      <c r="B23" s="36">
        <v>6.0</v>
      </c>
      <c r="C23" s="36">
        <v>2.0</v>
      </c>
      <c r="D23" s="36">
        <v>5.0</v>
      </c>
      <c r="E23" s="36"/>
      <c r="F23" s="36">
        <v>43.0</v>
      </c>
      <c r="G23" s="86">
        <v>11.0</v>
      </c>
      <c r="H23" s="86">
        <v>17.0</v>
      </c>
      <c r="I23" s="38"/>
      <c r="J23" s="38"/>
      <c r="K23" s="16"/>
      <c r="L23" s="16"/>
      <c r="M23" s="16"/>
      <c r="N23" s="16"/>
      <c r="O23" s="16"/>
      <c r="P23" s="16"/>
      <c r="Q23" s="16"/>
      <c r="R23" s="16"/>
    </row>
    <row r="24" ht="22.5" customHeight="1">
      <c r="A24" s="40" t="s">
        <v>55</v>
      </c>
      <c r="B24" s="36">
        <v>1.0</v>
      </c>
      <c r="C24" s="36"/>
      <c r="D24" s="36"/>
      <c r="E24" s="43"/>
      <c r="F24" s="43">
        <v>2.0</v>
      </c>
      <c r="G24" s="43">
        <v>2.0</v>
      </c>
      <c r="H24" s="43">
        <v>2.0</v>
      </c>
      <c r="I24" s="87"/>
      <c r="J24" s="88"/>
      <c r="K24" s="16"/>
      <c r="L24" s="16"/>
      <c r="M24" s="16"/>
      <c r="N24" s="16"/>
      <c r="O24" s="16"/>
      <c r="P24" s="16"/>
      <c r="Q24" s="16"/>
      <c r="R24" s="16"/>
    </row>
    <row r="25" ht="22.5" customHeight="1">
      <c r="A25" s="91" t="s">
        <v>34</v>
      </c>
      <c r="B25" s="36"/>
      <c r="C25" s="36"/>
      <c r="D25" s="36"/>
      <c r="E25" s="36"/>
      <c r="F25" s="36">
        <v>23.0</v>
      </c>
      <c r="G25" s="86">
        <v>9.0</v>
      </c>
      <c r="H25" s="86">
        <v>9.0</v>
      </c>
      <c r="I25" s="38"/>
      <c r="J25" s="38"/>
      <c r="K25" s="16"/>
      <c r="L25" s="16"/>
      <c r="M25" s="16"/>
      <c r="N25" s="16"/>
      <c r="O25" s="16"/>
      <c r="P25" s="16"/>
      <c r="Q25" s="16"/>
      <c r="R25" s="16"/>
    </row>
    <row r="26" ht="22.5" customHeight="1">
      <c r="A26" s="40" t="s">
        <v>65</v>
      </c>
      <c r="B26" s="36">
        <v>2.0</v>
      </c>
      <c r="C26" s="36">
        <v>1.0</v>
      </c>
      <c r="D26" s="36">
        <v>2.0</v>
      </c>
      <c r="E26" s="43">
        <v>2.0</v>
      </c>
      <c r="F26" s="43">
        <v>17.0</v>
      </c>
      <c r="G26" s="43">
        <v>3.0</v>
      </c>
      <c r="H26" s="43">
        <v>10.0</v>
      </c>
      <c r="I26" s="85"/>
      <c r="J26" s="85"/>
      <c r="K26" s="16"/>
      <c r="L26" s="16"/>
      <c r="M26" s="16"/>
      <c r="N26" s="16"/>
      <c r="O26" s="16"/>
      <c r="P26" s="16"/>
      <c r="Q26" s="16"/>
      <c r="R26" s="16"/>
    </row>
    <row r="27" ht="22.5" customHeight="1">
      <c r="A27" s="40" t="s">
        <v>66</v>
      </c>
      <c r="B27" s="36">
        <v>1.0</v>
      </c>
      <c r="C27" s="36"/>
      <c r="D27" s="36">
        <v>1.0</v>
      </c>
      <c r="E27" s="43"/>
      <c r="F27" s="43">
        <v>0.0</v>
      </c>
      <c r="G27" s="43">
        <v>1.0</v>
      </c>
      <c r="H27" s="43">
        <v>2.0</v>
      </c>
      <c r="I27" s="88"/>
      <c r="J27" s="87"/>
      <c r="K27" s="16"/>
      <c r="L27" s="16"/>
      <c r="M27" s="16"/>
      <c r="N27" s="16"/>
      <c r="O27" s="16"/>
      <c r="P27" s="16"/>
      <c r="Q27" s="16"/>
      <c r="R27" s="16"/>
    </row>
    <row r="28" ht="22.5" customHeight="1">
      <c r="A28" s="73" t="s">
        <v>68</v>
      </c>
      <c r="B28" s="36"/>
      <c r="C28" s="36"/>
      <c r="D28" s="36"/>
      <c r="E28" s="43"/>
      <c r="F28" s="43"/>
      <c r="G28" s="43">
        <v>1.0</v>
      </c>
      <c r="H28" s="43">
        <v>2.0</v>
      </c>
      <c r="I28" s="88"/>
      <c r="J28" s="87"/>
      <c r="K28" s="16"/>
      <c r="L28" s="16"/>
      <c r="M28" s="16"/>
      <c r="N28" s="16"/>
      <c r="O28" s="16"/>
      <c r="P28" s="16"/>
      <c r="Q28" s="16"/>
      <c r="R28" s="16"/>
    </row>
    <row r="29" ht="22.5" customHeight="1">
      <c r="A29" s="73" t="s">
        <v>58</v>
      </c>
      <c r="B29" s="36"/>
      <c r="C29" s="36"/>
      <c r="D29" s="36"/>
      <c r="E29" s="43"/>
      <c r="F29" s="43">
        <v>0.0</v>
      </c>
      <c r="G29" s="43">
        <v>0.0</v>
      </c>
      <c r="H29" s="43">
        <v>0.0</v>
      </c>
      <c r="I29" s="88"/>
      <c r="J29" s="87"/>
      <c r="K29" s="16"/>
      <c r="L29" s="16"/>
      <c r="M29" s="16"/>
      <c r="N29" s="16"/>
      <c r="O29" s="16"/>
      <c r="P29" s="16"/>
      <c r="Q29" s="16"/>
      <c r="R29" s="16"/>
    </row>
    <row r="30" ht="22.5" customHeight="1">
      <c r="A30" s="40" t="s">
        <v>29</v>
      </c>
      <c r="B30" s="36">
        <v>1.0</v>
      </c>
      <c r="C30" s="36">
        <v>1.0</v>
      </c>
      <c r="D30" s="36"/>
      <c r="E30" s="75"/>
      <c r="F30" s="75">
        <v>12.0</v>
      </c>
      <c r="G30" s="92">
        <v>0.0</v>
      </c>
      <c r="H30" s="92">
        <v>0.0</v>
      </c>
      <c r="I30" s="93"/>
      <c r="J30" s="93"/>
      <c r="K30" s="16"/>
      <c r="L30" s="16"/>
      <c r="M30" s="16"/>
      <c r="N30" s="16"/>
      <c r="O30" s="16"/>
      <c r="P30" s="16"/>
      <c r="Q30" s="16"/>
      <c r="R30" s="16"/>
    </row>
    <row r="31">
      <c r="A31" s="94"/>
      <c r="B31" s="95"/>
      <c r="C31" s="96"/>
      <c r="D31" s="9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</row>
    <row r="32">
      <c r="A32" s="94"/>
      <c r="B32" s="95">
        <f>SUM('OCTUBRE 2026'!$B$3:$B$30)</f>
        <v>38</v>
      </c>
      <c r="C32" s="96"/>
      <c r="D32" s="9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</row>
    <row r="33">
      <c r="A33" s="94"/>
      <c r="B33" s="97" t="s">
        <v>69</v>
      </c>
      <c r="C33" s="96"/>
      <c r="D33" s="9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</row>
    <row r="34">
      <c r="A34" s="94"/>
      <c r="B34" s="16"/>
      <c r="C34" s="96"/>
      <c r="D34" s="9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</row>
    <row r="35">
      <c r="A35" s="94"/>
      <c r="B35" s="16"/>
      <c r="C35" s="96"/>
      <c r="D35" s="9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</row>
    <row r="36">
      <c r="A36" s="94"/>
      <c r="B36" s="16"/>
      <c r="C36" s="96"/>
      <c r="D36" s="9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</row>
    <row r="37">
      <c r="A37" s="94"/>
      <c r="B37" s="16"/>
      <c r="C37" s="96"/>
      <c r="D37" s="9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</row>
    <row r="38">
      <c r="A38" s="94"/>
      <c r="B38" s="16"/>
      <c r="C38" s="96"/>
      <c r="D38" s="9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</row>
    <row r="39">
      <c r="A39" s="16"/>
      <c r="B39" s="16"/>
      <c r="C39" s="16"/>
      <c r="D39" s="97"/>
      <c r="E39" s="97"/>
      <c r="F39" s="97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</row>
    <row r="40">
      <c r="A40" s="16"/>
      <c r="B40" s="16"/>
      <c r="C40" s="16"/>
      <c r="D40" s="97"/>
      <c r="E40" s="97"/>
      <c r="F40" s="97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</row>
    <row r="41">
      <c r="A41" s="16"/>
      <c r="B41" s="16"/>
      <c r="C41" s="16"/>
      <c r="D41" s="97"/>
      <c r="E41" s="97"/>
      <c r="F41" s="97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</row>
    <row r="42">
      <c r="A42" s="16"/>
      <c r="B42" s="16"/>
      <c r="C42" s="16"/>
      <c r="D42" s="97"/>
      <c r="E42" s="97"/>
      <c r="F42" s="97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</row>
    <row r="999">
      <c r="A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</row>
    <row r="1000">
      <c r="A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</row>
    <row r="1001">
      <c r="A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</row>
    <row r="1002">
      <c r="A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</row>
    <row r="1003">
      <c r="A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</row>
    <row r="1004">
      <c r="A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1">
    <tablePart r:id="rId3"/>
  </tableParts>
</worksheet>
</file>